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kee\Downloads\"/>
    </mc:Choice>
  </mc:AlternateContent>
  <xr:revisionPtr revIDLastSave="0" documentId="13_ncr:1_{3DBC7844-2377-4C4B-A5F6-228140D8DE7A}" xr6:coauthVersionLast="47" xr6:coauthVersionMax="47" xr10:uidLastSave="{00000000-0000-0000-0000-000000000000}"/>
  <bookViews>
    <workbookView xWindow="-110" yWindow="-110" windowWidth="19420" windowHeight="10300" tabRatio="591" activeTab="3" xr2:uid="{00000000-000D-0000-FFFF-FFFF00000000}"/>
  </bookViews>
  <sheets>
    <sheet name="README" sheetId="2" r:id="rId1"/>
    <sheet name="Raw_Data" sheetId="1" r:id="rId2"/>
    <sheet name="ADR analysis" sheetId="3" r:id="rId3"/>
    <sheet name="Dashboard" sheetId="12" r:id="rId4"/>
  </sheet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2" l="1"/>
  <c r="I11" i="12"/>
  <c r="E11" i="12"/>
  <c r="A11" i="12"/>
  <c r="I6" i="12"/>
  <c r="E6" i="1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B6" i="3"/>
  <c r="B5" i="3"/>
  <c r="B4" i="3"/>
  <c r="B3" i="3"/>
  <c r="B2" i="3"/>
</calcChain>
</file>

<file path=xl/sharedStrings.xml><?xml version="1.0" encoding="utf-8"?>
<sst xmlns="http://schemas.openxmlformats.org/spreadsheetml/2006/main" count="1236" uniqueCount="224">
  <si>
    <t>Patient_ID</t>
  </si>
  <si>
    <t>Age</t>
  </si>
  <si>
    <t>Gender</t>
  </si>
  <si>
    <t>Drug</t>
  </si>
  <si>
    <t>Dose</t>
  </si>
  <si>
    <t>Reaction</t>
  </si>
  <si>
    <t>Severity</t>
  </si>
  <si>
    <t>Drug_Start_Date</t>
  </si>
  <si>
    <t>Reaction_Date</t>
  </si>
  <si>
    <t>Reaction_Duration_Days</t>
  </si>
  <si>
    <t>Outcome</t>
  </si>
  <si>
    <t>Concomitant_Medication</t>
  </si>
  <si>
    <t>Medical_History</t>
  </si>
  <si>
    <t>Time_to_Reaction_Days</t>
  </si>
  <si>
    <t>P001</t>
  </si>
  <si>
    <t>Female</t>
  </si>
  <si>
    <t>Amlodipine</t>
  </si>
  <si>
    <t>5 mg</t>
  </si>
  <si>
    <t>Dizziness</t>
  </si>
  <si>
    <t>Moderate</t>
  </si>
  <si>
    <t>Hospitalized</t>
  </si>
  <si>
    <t>Yes</t>
  </si>
  <si>
    <t>Cardiovascular disease</t>
  </si>
  <si>
    <t>P002</t>
  </si>
  <si>
    <t>Insulin</t>
  </si>
  <si>
    <t>20 units</t>
  </si>
  <si>
    <t>Sweating</t>
  </si>
  <si>
    <t>Mild</t>
  </si>
  <si>
    <t>Recovered</t>
  </si>
  <si>
    <t>Hypertension</t>
  </si>
  <si>
    <t>P003</t>
  </si>
  <si>
    <t>Male</t>
  </si>
  <si>
    <t>Ibuprofen</t>
  </si>
  <si>
    <t>400 mg</t>
  </si>
  <si>
    <t>Gastric irritation</t>
  </si>
  <si>
    <t>Ongoing</t>
  </si>
  <si>
    <t>P004</t>
  </si>
  <si>
    <t>Ciprofloxacin</t>
  </si>
  <si>
    <t>500 mg</t>
  </si>
  <si>
    <t>Diarrhea</t>
  </si>
  <si>
    <t>No</t>
  </si>
  <si>
    <t>P005</t>
  </si>
  <si>
    <t>Warfarin</t>
  </si>
  <si>
    <t>Bleeding</t>
  </si>
  <si>
    <t>Severe</t>
  </si>
  <si>
    <t>P006</t>
  </si>
  <si>
    <t>10 mg</t>
  </si>
  <si>
    <t>Headache</t>
  </si>
  <si>
    <t>P007</t>
  </si>
  <si>
    <t>Diabetes</t>
  </si>
  <si>
    <t>P008</t>
  </si>
  <si>
    <t>200 mg</t>
  </si>
  <si>
    <t>Asthma</t>
  </si>
  <si>
    <t>P009</t>
  </si>
  <si>
    <t>Ankle swelling</t>
  </si>
  <si>
    <t>P010</t>
  </si>
  <si>
    <t>Bruising</t>
  </si>
  <si>
    <t>None</t>
  </si>
  <si>
    <t>P011</t>
  </si>
  <si>
    <t>P012</t>
  </si>
  <si>
    <t>Atorvastatin</t>
  </si>
  <si>
    <t>20 mg</t>
  </si>
  <si>
    <t>Fatigue</t>
  </si>
  <si>
    <t>P013</t>
  </si>
  <si>
    <t>P014</t>
  </si>
  <si>
    <t>P015</t>
  </si>
  <si>
    <t>Nausea</t>
  </si>
  <si>
    <t>P016</t>
  </si>
  <si>
    <t>2.5 mg</t>
  </si>
  <si>
    <t>P017</t>
  </si>
  <si>
    <t>P018</t>
  </si>
  <si>
    <t>Amoxicillin</t>
  </si>
  <si>
    <t>250 mg</t>
  </si>
  <si>
    <t>Skin rash</t>
  </si>
  <si>
    <t>P019</t>
  </si>
  <si>
    <t>P020</t>
  </si>
  <si>
    <t>Metformin</t>
  </si>
  <si>
    <t>P021</t>
  </si>
  <si>
    <t>850 mg</t>
  </si>
  <si>
    <t>Abdominal pain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</si>
  <si>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</si>
  <si>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</si>
  <si>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</si>
  <si>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</si>
  <si>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</si>
  <si>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</si>
  <si>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</si>
  <si>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</si>
  <si>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</si>
  <si>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</si>
  <si>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</si>
  <si>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Life-threatening</t>
  </si>
  <si>
    <t>P033</t>
  </si>
  <si>
    <t>P034</t>
  </si>
  <si>
    <t>P035</t>
  </si>
  <si>
    <t>P036</t>
  </si>
  <si>
    <t>P037</t>
  </si>
  <si>
    <t>P038</t>
  </si>
  <si>
    <t>P039</t>
  </si>
  <si>
    <t>40 mg</t>
  </si>
  <si>
    <t>Muscle pain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</si>
  <si>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</si>
  <si>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</si>
  <si>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</si>
  <si>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</si>
  <si>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</si>
  <si>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</si>
  <si>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</si>
  <si>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</si>
  <si>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</si>
  <si>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</si>
  <si>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</si>
  <si>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</si>
  <si>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</si>
  <si>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</si>
  <si>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</si>
  <si>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</si>
  <si>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</si>
  <si>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</si>
  <si>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</si>
  <si>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</si>
  <si>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</si>
  <si>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</si>
  <si>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Hypoglycemia</t>
  </si>
  <si>
    <t>P062</t>
  </si>
  <si>
    <t>P063</t>
  </si>
  <si>
    <t>P064</t>
  </si>
  <si>
    <t>P065</t>
  </si>
  <si>
    <t>P066</t>
  </si>
  <si>
    <t>P067</t>
  </si>
  <si>
    <t>P068</t>
  </si>
  <si>
    <t>10 units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</si>
  <si>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</si>
  <si>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</si>
  <si>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</si>
  <si>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</si>
  <si>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</si>
  <si>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</si>
  <si>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</si>
  <si>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</si>
  <si>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</si>
  <si>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</si>
  <si>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</si>
  <si>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</si>
  <si>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</si>
  <si>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</si>
  <si>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</si>
  <si>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</si>
  <si>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</si>
  <si>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</si>
  <si>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</si>
  <si>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</si>
  <si>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</si>
  <si>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</si>
  <si>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</si>
  <si>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</si>
  <si>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</si>
  <si>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</si>
  <si>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</si>
  <si>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</si>
  <si>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</si>
  <si>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</si>
  <si>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</si>
  <si>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</si>
  <si>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</si>
  <si>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</si>
  <si>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</si>
  <si>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</si>
  <si>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</si>
  <si>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</si>
  <si>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</si>
  <si>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</si>
  <si>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</si>
  <si>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</si>
  <si>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</si>
  <si>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</si>
  <si>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</si>
  <si>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</si>
  <si>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</si>
  <si>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</si>
  <si>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</si>
  <si>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</si>
  <si>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</si>
  <si>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</si>
  <si>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Adverse Drug Reaction Data Analysis</t>
  </si>
  <si>
    <t>Synthetic Dataset – Created for Educational/Internship Analysis</t>
  </si>
  <si>
    <t>Purpose:</t>
  </si>
  <si>
    <t>Analyze symptoms, medication usage and timelines to identify possible ADR patterns, correlate symptoms with drugs, identify high-risk medicines, and evaluate possible contributing factors.</t>
  </si>
  <si>
    <t>Important:</t>
  </si>
  <si>
    <t>This dataset is synthetic and does not represent real patients or real-world clinical evidence.</t>
  </si>
  <si>
    <t>Metric</t>
  </si>
  <si>
    <t>Value</t>
  </si>
  <si>
    <t>Total ADR Records</t>
  </si>
  <si>
    <t>Unique Drugs</t>
  </si>
  <si>
    <t>Severe ADRs</t>
  </si>
  <si>
    <t>Hospitalized Cases</t>
  </si>
  <si>
    <t>Life-threatening Cases</t>
  </si>
  <si>
    <t>Row Labels</t>
  </si>
  <si>
    <t>Grand Total</t>
  </si>
  <si>
    <t>Column Labels</t>
  </si>
  <si>
    <t>Count of Patient_ID</t>
  </si>
  <si>
    <t>Time_category</t>
  </si>
  <si>
    <t>Early</t>
  </si>
  <si>
    <t>Intermediate</t>
  </si>
  <si>
    <t>Age_group</t>
  </si>
  <si>
    <t>ADVERSE DRUG REACTION (ADR) DATA ANALYSIS DASHBOARD</t>
  </si>
  <si>
    <t>TOTAL ADR REPORTS</t>
  </si>
  <si>
    <t>MEDICINES ANALYSED</t>
  </si>
  <si>
    <t>SEVERE ADRS</t>
  </si>
  <si>
    <t>HOSPITALISED</t>
  </si>
  <si>
    <t>LIFE THREATENING</t>
  </si>
  <si>
    <t>AVG TIME TO REACTION</t>
  </si>
  <si>
    <t>DRUGS</t>
  </si>
  <si>
    <t>TIME CATEGORY</t>
  </si>
  <si>
    <t>KEY FINDINGS:</t>
  </si>
  <si>
    <t>• The highest number of ADR reports was associated with  Amlodipine.</t>
  </si>
  <si>
    <t>• Dizziness was the most frequently reported  reaction by amlodipine.</t>
  </si>
  <si>
    <t>• Severe ADRs were most frequently observed with the drug warfarin .</t>
  </si>
  <si>
    <t>• Most reactions occurred within 30 to 40  days of treatment initiation.</t>
  </si>
  <si>
    <t>• Patients in the  age group greater than 60 accounted for the highest number of ADR reports.</t>
  </si>
  <si>
    <t>severity</t>
  </si>
  <si>
    <t>Drugs</t>
  </si>
  <si>
    <t>disease</t>
  </si>
  <si>
    <t>time to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</si>
</sst>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/>
    <xf numFmtId="0" fontId="0" fillId="0" borderId="0" xfId="0" applyBorder="1"/>
    <xf numFmtId="0" fontId="3" fillId="2" borderId="2" xfId="0" applyFont="1" applyFill="1" applyBorder="1" applyAlignment="1"/>
    <xf numFmtId="0" fontId="0" fillId="2" borderId="2" xfId="0" applyFill="1" applyBorder="1" applyAlignment="1"/>
    <xf numFmtId="0" fontId="3" fillId="2" borderId="2" xfId="0" applyFont="1" applyFill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</a:t>
            </a:r>
            <a:r>
              <a:rPr lang="en-IN" sz="1800" b="1" baseline="0"/>
              <a:t> Reports by Drug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'ADR analysis'!$B$10:$B$11</c:f>
              <c:strCache>
                <c:ptCount val="1"/>
                <c:pt idx="0">
                  <c:v>Abdominal pain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analysis'!$B$12:$B$20</c:f>
              <c:numCache>
                <c:formatCode>General</c:formatCode>
                <c:ptCount val="8"/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D-4EFD-8828-910951BED852}"/>
            </c:ext>
          </c:extLst>
        </c:ser>
        <c:ser>
          <c:idx val="1"/>
          <c:order val="1"/>
          <c:tx>
            <c:strRef>
              <c:f>'ADR analysis'!$C$10:$C$11</c:f>
              <c:strCache>
                <c:ptCount val="1"/>
                <c:pt idx="0">
                  <c:v>Ankle swelling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analysis'!$C$12:$C$20</c:f>
              <c:numCache>
                <c:formatCode>General</c:formatCode>
                <c:ptCount val="8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D-4EFD-8828-910951BED852}"/>
            </c:ext>
          </c:extLst>
        </c:ser>
        <c:ser>
          <c:idx val="2"/>
          <c:order val="2"/>
          <c:tx>
            <c:strRef>
              <c:f>'ADR analysis'!$D$10:$D$11</c:f>
              <c:strCache>
                <c:ptCount val="1"/>
                <c:pt idx="0">
                  <c:v>Bleeding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analysis'!$D$12:$D$20</c:f>
              <c:numCache>
                <c:formatCode>General</c:formatCode>
                <c:ptCount val="8"/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D-4EFD-8828-910951BED852}"/>
            </c:ext>
          </c:extLst>
        </c:ser>
        <c:ser>
          <c:idx val="3"/>
          <c:order val="3"/>
          <c:tx>
            <c:strRef>
              <c:f>'ADR analysis'!$E$10:$E$11</c:f>
              <c:strCache>
                <c:ptCount val="1"/>
                <c:pt idx="0">
                  <c:v>Bruising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analysis'!$E$12:$E$20</c:f>
              <c:numCache>
                <c:formatCode>General</c:formatCode>
                <c:ptCount val="8"/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7D-4EFD-8828-910951BED852}"/>
            </c:ext>
          </c:extLst>
        </c:ser>
        <c:ser>
          <c:idx val="4"/>
          <c:order val="4"/>
          <c:tx>
            <c:strRef>
              <c:f>'ADR analysis'!$F$10:$F$11</c:f>
              <c:strCache>
                <c:ptCount val="1"/>
                <c:pt idx="0">
                  <c:v>Diarrhea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analysis'!$F$12:$F$20</c:f>
              <c:numCache>
                <c:formatCode>General</c:formatCode>
                <c:ptCount val="8"/>
                <c:pt idx="1">
                  <c:v>4</c:v>
                </c:pt>
                <c:pt idx="3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7D-4EFD-8828-910951BED852}"/>
            </c:ext>
          </c:extLst>
        </c:ser>
        <c:ser>
          <c:idx val="5"/>
          <c:order val="5"/>
          <c:tx>
            <c:strRef>
              <c:f>'ADR analysis'!$G$10:$G$11</c:f>
              <c:strCache>
                <c:ptCount val="1"/>
                <c:pt idx="0">
                  <c:v>Dizziness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analysis'!$G$12:$G$20</c:f>
              <c:numCache>
                <c:formatCode>General</c:formatCode>
                <c:ptCount val="8"/>
                <c:pt idx="0">
                  <c:v>10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7D-4EFD-8828-910951BED852}"/>
            </c:ext>
          </c:extLst>
        </c:ser>
        <c:ser>
          <c:idx val="6"/>
          <c:order val="6"/>
          <c:tx>
            <c:strRef>
              <c:f>'ADR analysis'!$H$10:$H$11</c:f>
              <c:strCache>
                <c:ptCount val="1"/>
                <c:pt idx="0">
                  <c:v>Fatigue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analysis'!$H$12:$H$20</c:f>
              <c:numCache>
                <c:formatCode>General</c:formatCode>
                <c:ptCount val="8"/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7D-4EFD-8828-910951BED852}"/>
            </c:ext>
          </c:extLst>
        </c:ser>
        <c:ser>
          <c:idx val="7"/>
          <c:order val="7"/>
          <c:tx>
            <c:strRef>
              <c:f>'ADR analysis'!$I$10:$I$11</c:f>
              <c:strCache>
                <c:ptCount val="1"/>
                <c:pt idx="0">
                  <c:v>Gastric irritation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analysis'!$I$12:$I$20</c:f>
              <c:numCache>
                <c:formatCode>General</c:formatCode>
                <c:ptCount val="8"/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7D-4EFD-8828-910951BED852}"/>
            </c:ext>
          </c:extLst>
        </c:ser>
        <c:ser>
          <c:idx val="8"/>
          <c:order val="8"/>
          <c:tx>
            <c:strRef>
              <c:f>'ADR analysis'!$J$10:$J$11</c:f>
              <c:strCache>
                <c:ptCount val="1"/>
                <c:pt idx="0">
                  <c:v>Headache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analysis'!$J$12:$J$20</c:f>
              <c:numCache>
                <c:formatCode>General</c:formatCode>
                <c:ptCount val="8"/>
                <c:pt idx="0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7D-4EFD-8828-910951BED852}"/>
            </c:ext>
          </c:extLst>
        </c:ser>
        <c:ser>
          <c:idx val="9"/>
          <c:order val="9"/>
          <c:tx>
            <c:strRef>
              <c:f>'ADR analysis'!$K$10:$K$11</c:f>
              <c:strCache>
                <c:ptCount val="1"/>
                <c:pt idx="0">
                  <c:v>Hypoglycemia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analysis'!$K$12:$K$20</c:f>
              <c:numCache>
                <c:formatCode>General</c:formatCode>
                <c:ptCount val="8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7D-4EFD-8828-910951BED852}"/>
            </c:ext>
          </c:extLst>
        </c:ser>
        <c:ser>
          <c:idx val="10"/>
          <c:order val="10"/>
          <c:tx>
            <c:strRef>
              <c:f>'ADR analysis'!$L$10:$L$11</c:f>
              <c:strCache>
                <c:ptCount val="1"/>
                <c:pt idx="0">
                  <c:v>Muscle pain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analysis'!$L$12:$L$20</c:f>
              <c:numCache>
                <c:formatCode>General</c:formatCode>
                <c:ptCount val="8"/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7D-4EFD-8828-910951BED852}"/>
            </c:ext>
          </c:extLst>
        </c:ser>
        <c:ser>
          <c:idx val="11"/>
          <c:order val="11"/>
          <c:tx>
            <c:strRef>
              <c:f>'ADR analysis'!$M$10:$M$11</c:f>
              <c:strCache>
                <c:ptCount val="1"/>
                <c:pt idx="0">
                  <c:v>Nausea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analysis'!$M$12:$M$20</c:f>
              <c:numCache>
                <c:formatCode>General</c:formatCode>
                <c:ptCount val="8"/>
                <c:pt idx="1">
                  <c:v>2</c:v>
                </c:pt>
                <c:pt idx="3">
                  <c:v>2</c:v>
                </c:pt>
                <c:pt idx="4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C7D-4EFD-8828-910951BED852}"/>
            </c:ext>
          </c:extLst>
        </c:ser>
        <c:ser>
          <c:idx val="12"/>
          <c:order val="12"/>
          <c:tx>
            <c:strRef>
              <c:f>'ADR analysis'!$N$10:$N$11</c:f>
              <c:strCache>
                <c:ptCount val="1"/>
                <c:pt idx="0">
                  <c:v>Skin rash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analysis'!$N$12:$N$20</c:f>
              <c:numCache>
                <c:formatCode>General</c:formatCode>
                <c:ptCount val="8"/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7D-4EFD-8828-910951BED852}"/>
            </c:ext>
          </c:extLst>
        </c:ser>
        <c:ser>
          <c:idx val="13"/>
          <c:order val="13"/>
          <c:tx>
            <c:strRef>
              <c:f>'ADR analysis'!$O$10:$O$11</c:f>
              <c:strCache>
                <c:ptCount val="1"/>
                <c:pt idx="0">
                  <c:v>Sweating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'ADR analysis'!$A$12:$A$20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analysis'!$O$12:$O$20</c:f>
              <c:numCache>
                <c:formatCode>General</c:formatCode>
                <c:ptCount val="8"/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7D-4EFD-8828-910951BE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608304"/>
        <c:axId val="572362064"/>
      </c:barChart>
      <c:catAx>
        <c:axId val="6626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62064"/>
        <c:crosses val="autoZero"/>
        <c:auto val="1"/>
        <c:lblAlgn val="ctr"/>
        <c:lblOffset val="100"/>
        <c:noMultiLvlLbl val="0"/>
      </c:catAx>
      <c:valAx>
        <c:axId val="5723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 Reports by Time to Reaction</a:t>
            </a:r>
          </a:p>
        </c:rich>
      </c:tx>
      <c:layout>
        <c:manualLayout>
          <c:xMode val="edge"/>
          <c:yMode val="edge"/>
          <c:x val="0.1485763342082239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'ADR analysis'!$L$42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'ADR analysis'!$K$43:$K$45</c:f>
              <c:strCache>
                <c:ptCount val="2"/>
                <c:pt idx="0">
                  <c:v>Early</c:v>
                </c:pt>
                <c:pt idx="1">
                  <c:v>Intermediate</c:v>
                </c:pt>
              </c:strCache>
            </c:strRef>
          </c:cat>
          <c:val>
            <c:numRef>
              <c:f>'ADR analysis'!$L$43:$L$45</c:f>
              <c:numCache>
                <c:formatCode>General</c:formatCode>
                <c:ptCount val="2"/>
                <c:pt idx="0">
                  <c:v>32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C-4F20-A15F-108B5A36F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349248"/>
        <c:axId val="572354384"/>
      </c:barChart>
      <c:catAx>
        <c:axId val="8793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54384"/>
        <c:crosses val="autoZero"/>
        <c:auto val="1"/>
        <c:lblAlgn val="ctr"/>
        <c:lblOffset val="100"/>
        <c:noMultiLvlLbl val="0"/>
      </c:catAx>
      <c:valAx>
        <c:axId val="5723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ADR REPORTS BY DRUG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'ADR analysis'!$I$42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'ADR analysis'!$H$43:$H$51</c:f>
              <c:strCache>
                <c:ptCount val="8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Ibuprofen</c:v>
                </c:pt>
                <c:pt idx="5">
                  <c:v>Insulin</c:v>
                </c:pt>
                <c:pt idx="6">
                  <c:v>Metformin</c:v>
                </c:pt>
                <c:pt idx="7">
                  <c:v>Warfarin</c:v>
                </c:pt>
              </c:strCache>
            </c:strRef>
          </c:cat>
          <c:val>
            <c:numRef>
              <c:f>'ADR analysis'!$I$43:$I$51</c:f>
              <c:numCache>
                <c:formatCode>General</c:formatCode>
                <c:ptCount val="8"/>
                <c:pt idx="0">
                  <c:v>22</c:v>
                </c:pt>
                <c:pt idx="1">
                  <c:v>13</c:v>
                </c:pt>
                <c:pt idx="2">
                  <c:v>16</c:v>
                </c:pt>
                <c:pt idx="3">
                  <c:v>8</c:v>
                </c:pt>
                <c:pt idx="4">
                  <c:v>15</c:v>
                </c:pt>
                <c:pt idx="5">
                  <c:v>12</c:v>
                </c:pt>
                <c:pt idx="6">
                  <c:v>14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6-42AC-A025-46BFB138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909135"/>
        <c:axId val="537521167"/>
      </c:barChart>
      <c:catAx>
        <c:axId val="6489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1167"/>
        <c:crosses val="autoZero"/>
        <c:auto val="1"/>
        <c:lblAlgn val="ctr"/>
        <c:lblOffset val="100"/>
        <c:noMultiLvlLbl val="0"/>
      </c:catAx>
      <c:valAx>
        <c:axId val="5375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</a:t>
            </a:r>
            <a:r>
              <a:rPr lang="en-IN" sz="1800" b="1" baseline="0"/>
              <a:t> Distribution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'ADR analysis'!$B$26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9-4616-AD64-781435B4CCE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9-4616-AD64-781435B4CCE6}"/>
              </c:ext>
            </c:extLst>
          </c:dPt>
          <c:cat>
            <c:strRef>
              <c:f>'ADR analysis'!$A$27:$A$30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'ADR analysis'!$B$27:$B$30</c:f>
              <c:numCache>
                <c:formatCode>General</c:formatCode>
                <c:ptCount val="3"/>
                <c:pt idx="0">
                  <c:v>52</c:v>
                </c:pt>
                <c:pt idx="1">
                  <c:v>48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9-4616-AD64-781435B4C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097088"/>
        <c:axId val="572337584"/>
      </c:barChart>
      <c:catAx>
        <c:axId val="8670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37584"/>
        <c:crosses val="autoZero"/>
        <c:auto val="1"/>
        <c:lblAlgn val="ctr"/>
        <c:lblOffset val="100"/>
        <c:noMultiLvlLbl val="0"/>
      </c:catAx>
      <c:valAx>
        <c:axId val="5723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SEVERE</a:t>
            </a:r>
            <a:r>
              <a:rPr lang="en-IN" sz="1800" b="1" baseline="0"/>
              <a:t> ADR REPORTS BY DRUG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'ADR analysis'!$E$26:$E$27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'ADR analysis'!$D$28:$D$34</c:f>
              <c:strCache>
                <c:ptCount val="6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Ibuprofen</c:v>
                </c:pt>
                <c:pt idx="4">
                  <c:v>Insulin</c:v>
                </c:pt>
                <c:pt idx="5">
                  <c:v>Warfarin</c:v>
                </c:pt>
              </c:strCache>
            </c:strRef>
          </c:cat>
          <c:val>
            <c:numRef>
              <c:f>'ADR analysis'!$E$28:$E$34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2-4B28-AE70-9AFD1DFE5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979263"/>
        <c:axId val="537483727"/>
      </c:barChart>
      <c:catAx>
        <c:axId val="70997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83727"/>
        <c:crosses val="autoZero"/>
        <c:auto val="1"/>
        <c:lblAlgn val="ctr"/>
        <c:lblOffset val="100"/>
        <c:noMultiLvlLbl val="0"/>
      </c:catAx>
      <c:valAx>
        <c:axId val="53748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7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</a:t>
            </a:r>
            <a:r>
              <a:rPr lang="en-IN" sz="1800" b="1" baseline="0"/>
              <a:t> Reports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Mild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&gt;60</c:v>
              </c:pt>
              <c:pt idx="1">
                <c:v>18-40</c:v>
              </c:pt>
              <c:pt idx="2">
                <c:v>41-60</c:v>
              </c:pt>
            </c:strLit>
          </c:cat>
          <c:val>
            <c:numLit>
              <c:formatCode>General</c:formatCode>
              <c:ptCount val="3"/>
              <c:pt idx="0">
                <c:v>24</c:v>
              </c:pt>
              <c:pt idx="1">
                <c:v>18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4196-4C6C-8EFA-94F9DFB0B531}"/>
            </c:ext>
          </c:extLst>
        </c:ser>
        <c:ser>
          <c:idx val="1"/>
          <c:order val="1"/>
          <c:tx>
            <c:v>Moderate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&gt;60</c:v>
              </c:pt>
              <c:pt idx="1">
                <c:v>18-40</c:v>
              </c:pt>
              <c:pt idx="2">
                <c:v>41-60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18</c:v>
              </c:pt>
              <c:pt idx="2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1-4196-4C6C-8EFA-94F9DFB0B531}"/>
            </c:ext>
          </c:extLst>
        </c:ser>
        <c:ser>
          <c:idx val="2"/>
          <c:order val="2"/>
          <c:tx>
            <c:v>Severe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&gt;60</c:v>
              </c:pt>
              <c:pt idx="1">
                <c:v>18-40</c:v>
              </c:pt>
              <c:pt idx="2">
                <c:v>41-60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11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2-4196-4C6C-8EFA-94F9DFB0B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109999"/>
        <c:axId val="537478447"/>
      </c:barChart>
      <c:catAx>
        <c:axId val="6511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78447"/>
        <c:crosses val="autoZero"/>
        <c:auto val="1"/>
        <c:lblAlgn val="ctr"/>
        <c:lblOffset val="100"/>
        <c:noMultiLvlLbl val="0"/>
      </c:catAx>
      <c:valAx>
        <c:axId val="5374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[ADR_Analysis_Internship_Dataset.xlsx]ADR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</a:t>
            </a:r>
            <a:r>
              <a:rPr lang="en-IN" sz="1800" b="1" baseline="0"/>
              <a:t> REPORTS BY TIME TO REACTION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'ADR analysis'!$B$38:$B$39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'ADR analysis'!$A$40:$A$42</c:f>
              <c:strCache>
                <c:ptCount val="2"/>
                <c:pt idx="0">
                  <c:v>Early</c:v>
                </c:pt>
                <c:pt idx="1">
                  <c:v>Intermediate</c:v>
                </c:pt>
              </c:strCache>
            </c:strRef>
          </c:cat>
          <c:val>
            <c:numRef>
              <c:f>'ADR analysis'!$B$40:$B$42</c:f>
              <c:numCache>
                <c:formatCode>General</c:formatCode>
                <c:ptCount val="2"/>
                <c:pt idx="0">
                  <c:v>13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9-4AD1-AA23-A7A8814201D5}"/>
            </c:ext>
          </c:extLst>
        </c:ser>
        <c:ser>
          <c:idx val="1"/>
          <c:order val="1"/>
          <c:tx>
            <c:strRef>
              <c:f>'ADR analysis'!$C$38:$C$39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'ADR analysis'!$A$40:$A$42</c:f>
              <c:strCache>
                <c:ptCount val="2"/>
                <c:pt idx="0">
                  <c:v>Early</c:v>
                </c:pt>
                <c:pt idx="1">
                  <c:v>Intermediate</c:v>
                </c:pt>
              </c:strCache>
            </c:strRef>
          </c:cat>
          <c:val>
            <c:numRef>
              <c:f>'ADR analysis'!$C$40:$C$42</c:f>
              <c:numCache>
                <c:formatCode>General</c:formatCode>
                <c:ptCount val="2"/>
                <c:pt idx="0">
                  <c:v>14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9-4AD1-AA23-A7A8814201D5}"/>
            </c:ext>
          </c:extLst>
        </c:ser>
        <c:ser>
          <c:idx val="2"/>
          <c:order val="2"/>
          <c:tx>
            <c:strRef>
              <c:f>'ADR analysis'!$D$38:$D$39</c:f>
              <c:strCache>
                <c:ptCount val="1"/>
                <c:pt idx="0">
                  <c:v>Severe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'ADR analysis'!$A$40:$A$42</c:f>
              <c:strCache>
                <c:ptCount val="2"/>
                <c:pt idx="0">
                  <c:v>Early</c:v>
                </c:pt>
                <c:pt idx="1">
                  <c:v>Intermediate</c:v>
                </c:pt>
              </c:strCache>
            </c:strRef>
          </c:cat>
          <c:val>
            <c:numRef>
              <c:f>'ADR analysis'!$D$40:$D$42</c:f>
              <c:numCache>
                <c:formatCode>General</c:formatCode>
                <c:ptCount val="2"/>
                <c:pt idx="0">
                  <c:v>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9-4AD1-AA23-A7A88142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931007"/>
        <c:axId val="537494767"/>
      </c:barChart>
      <c:catAx>
        <c:axId val="7099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94767"/>
        <c:crosses val="autoZero"/>
        <c:auto val="1"/>
        <c:lblAlgn val="ctr"/>
        <c:lblOffset val="100"/>
        <c:noMultiLvlLbl val="0"/>
      </c:catAx>
      <c:valAx>
        <c:axId val="5374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ADR</a:t>
            </a:r>
            <a:r>
              <a:rPr lang="en-IN" sz="1800" b="1" baseline="0"/>
              <a:t> Reports by Gender</a:t>
            </a:r>
            <a:endParaRPr lang="en-IN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7-41A8-B684-53A40FC070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7-41A8-B684-53A40FC070C8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63</c:v>
              </c:pt>
              <c:pt idx="1">
                <c:v>57</c:v>
              </c:pt>
            </c:numLit>
          </c:val>
          <c:extLst>
            <c:ext xmlns:c16="http://schemas.microsoft.com/office/drawing/2014/chart" uri="{C3380CC4-5D6E-409C-BE32-E72D297353CC}">
              <c16:uniqueId val="{00000004-9557-41A8-B684-53A40FC07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330200</xdr:colOff>
      <xdr:row>8</xdr:row>
      <xdr:rowOff>149225</xdr:rowOff>
    </xdr:from>
    <xdr:to>
      <xdr:col>23</xdr:col>
      <xdr:colOff>69850</xdr:colOff>
      <xdr:row>23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C0024-634F-22CC-6FF2-E2ECE08EB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41</xdr:row>
      <xdr:rowOff>0</xdr:rowOff>
    </xdr:from>
    <xdr:to>
      <xdr:col>19</xdr:col>
      <xdr:colOff>88900</xdr:colOff>
      <xdr:row>55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DCD884-AAAC-4642-B320-59F678363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6</xdr:col>
      <xdr:colOff>107950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3301B-7C25-45AC-A71B-12EEAB16C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120650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733B3-960F-4BE3-801B-1162D475A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107950</xdr:colOff>
      <xdr:row>47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D9ED9-966C-4645-8DD1-871DE4C3B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120650</xdr:colOff>
      <xdr:row>47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136870-0D87-40FB-841D-5846EB76E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6</xdr:col>
      <xdr:colOff>107950</xdr:colOff>
      <xdr:row>65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1215C2-C5B3-4CBC-A28F-0C07B581B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16</xdr:col>
      <xdr:colOff>114300</xdr:colOff>
      <xdr:row>66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998F94-80CB-4B57-90C2-A9F52F18B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E" refreshedDate="46265.90095625" createdVersion="8" refreshedVersion="8" minRefreshableVersion="3" recordCount="120" xr:uid="{4624CD1F-EA1D-41F2-825A-3358E3AC915B}">
  <cacheSource type="worksheet">
    <worksheetSource name="ADR_Data"/>
  </cacheSource>
  <cacheFields count="16">
    <cacheField name="Patient_ID" numFmtId="0">
      <sharedItems/>
    </cacheField>
    <cacheField name="Age" numFmtId="0">
      <sharedItems containsSemiMixedTypes="0" containsString="0" containsNumber="1" containsInteger="1" minValue="18" maxValue="79"/>
    </cacheField>
    <cacheField name="Gender" numFmtId="0">
      <sharedItems count="2">
        <s v="Female"/>
        <s v="Male"/>
      </sharedItems>
    </cacheField>
    <cacheField name="Drug" numFmtId="0">
      <sharedItems count="8">
        <s v="Amlodipine"/>
        <s v="Insulin"/>
        <s v="Ibuprofen"/>
        <s v="Ciprofloxacin"/>
        <s v="Warfarin"/>
        <s v="Atorvastatin"/>
        <s v="Amoxicillin"/>
        <s v="Metformin"/>
      </sharedItems>
    </cacheField>
    <cacheField name="Dose" numFmtId="0">
      <sharedItems count="12">
        <s v="5 mg"/>
        <s v="20 units"/>
        <s v="400 mg"/>
        <s v="500 mg"/>
        <s v="10 mg"/>
        <s v="200 mg"/>
        <s v="20 mg"/>
        <s v="2.5 mg"/>
        <s v="250 mg"/>
        <s v="850 mg"/>
        <s v="40 mg"/>
        <s v="10 units"/>
      </sharedItems>
    </cacheField>
    <cacheField name="Reaction" numFmtId="0">
      <sharedItems count="14">
        <s v="Dizziness"/>
        <s v="Sweating"/>
        <s v="Gastric irritation"/>
        <s v="Diarrhea"/>
        <s v="Bleeding"/>
        <s v="Headache"/>
        <s v="Ankle swelling"/>
        <s v="Bruising"/>
        <s v="Fatigue"/>
        <s v="Nausea"/>
        <s v="Skin rash"/>
        <s v="Abdominal pain"/>
        <s v="Muscle pain"/>
        <s v="Hypoglycemia"/>
      </sharedItems>
    </cacheField>
    <cacheField name="Severity" numFmtId="0">
      <sharedItems count="3">
        <s v="Moderate"/>
        <s v="Mild"/>
        <s v="Severe"/>
      </sharedItems>
    </cacheField>
    <cacheField name="Drug_Start_Date" numFmtId="164">
      <sharedItems containsSemiMixedTypes="0" containsNonDate="0" containsDate="1" containsString="0" minDate="2026-01-01T00:00:00" maxDate="2026-05-31T00:00:00"/>
    </cacheField>
    <cacheField name="Reaction_Date" numFmtId="164">
      <sharedItems containsSemiMixedTypes="0" containsNonDate="0" containsDate="1" containsString="0" minDate="2026-01-10T00:00:00" maxDate="2026-06-25T00:00:00"/>
    </cacheField>
    <cacheField name="Reaction_Duration_Days" numFmtId="0">
      <sharedItems containsSemiMixedTypes="0" containsString="0" containsNumber="1" containsInteger="1" minValue="1" maxValue="14"/>
    </cacheField>
    <cacheField name="Outcome" numFmtId="0">
      <sharedItems/>
    </cacheField>
    <cacheField name="Concomitant_Medication" numFmtId="0">
      <sharedItems count="2">
        <s v="Yes"/>
        <s v="No"/>
      </sharedItems>
    </cacheField>
    <cacheField name="Medical_History" numFmtId="0">
      <sharedItems count="5">
        <s v="Cardiovascular disease"/>
        <s v="Hypertension"/>
        <s v="Diabetes"/>
        <s v="Asthma"/>
        <s v="None"/>
      </sharedItems>
    </cacheField>
    <cacheField name="Time_to_Reaction_Days" numFmtId="0">
      <sharedItems containsSemiMixedTypes="0" containsString="0" containsNumber="1" containsInteger="1" minValue="1" maxValue="30"/>
    </cacheField>
    <cacheField name="Time_category" numFmtId="0">
      <sharedItems count="2">
        <s v="Early"/>
        <s v="Intermediate"/>
      </sharedItems>
    </cacheField>
    <cacheField name="Age_group" numFmtId="0">
      <sharedItems count="3">
        <s v="41-60"/>
        <s v="&gt;60"/>
        <s v="18-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P001"/>
    <n v="56"/>
    <x v="0"/>
    <x v="0"/>
    <x v="0"/>
    <x v="0"/>
    <x v="0"/>
    <d v="2026-04-17T00:00:00"/>
    <d v="2026-04-24T00:00:00"/>
    <n v="10"/>
    <s v="Hospitalized"/>
    <x v="0"/>
    <x v="0"/>
    <n v="7"/>
    <x v="0"/>
    <x v="0"/>
  </r>
  <r>
    <s v="P002"/>
    <n v="70"/>
    <x v="0"/>
    <x v="1"/>
    <x v="1"/>
    <x v="1"/>
    <x v="1"/>
    <d v="2026-05-11T00:00:00"/>
    <d v="2026-06-04T00:00:00"/>
    <n v="12"/>
    <s v="Recovered"/>
    <x v="0"/>
    <x v="1"/>
    <n v="24"/>
    <x v="1"/>
    <x v="1"/>
  </r>
  <r>
    <s v="P003"/>
    <n v="38"/>
    <x v="1"/>
    <x v="2"/>
    <x v="2"/>
    <x v="2"/>
    <x v="1"/>
    <d v="2026-01-22T00:00:00"/>
    <d v="2026-02-08T00:00:00"/>
    <n v="11"/>
    <s v="Ongoing"/>
    <x v="0"/>
    <x v="1"/>
    <n v="17"/>
    <x v="1"/>
    <x v="2"/>
  </r>
  <r>
    <s v="P004"/>
    <n v="77"/>
    <x v="0"/>
    <x v="3"/>
    <x v="3"/>
    <x v="3"/>
    <x v="1"/>
    <d v="2026-02-20T00:00:00"/>
    <d v="2026-02-23T00:00:00"/>
    <n v="5"/>
    <s v="Ongoing"/>
    <x v="1"/>
    <x v="0"/>
    <n v="3"/>
    <x v="0"/>
    <x v="1"/>
  </r>
  <r>
    <s v="P005"/>
    <n v="35"/>
    <x v="0"/>
    <x v="4"/>
    <x v="0"/>
    <x v="4"/>
    <x v="2"/>
    <d v="2026-01-14T00:00:00"/>
    <d v="2026-02-09T00:00:00"/>
    <n v="5"/>
    <s v="Recovered"/>
    <x v="1"/>
    <x v="0"/>
    <n v="26"/>
    <x v="1"/>
    <x v="2"/>
  </r>
  <r>
    <s v="P006"/>
    <n v="24"/>
    <x v="0"/>
    <x v="0"/>
    <x v="4"/>
    <x v="5"/>
    <x v="2"/>
    <d v="2026-02-04T00:00:00"/>
    <d v="2026-02-12T00:00:00"/>
    <n v="4"/>
    <s v="Recovered"/>
    <x v="1"/>
    <x v="1"/>
    <n v="8"/>
    <x v="1"/>
    <x v="2"/>
  </r>
  <r>
    <s v="P007"/>
    <n v="21"/>
    <x v="0"/>
    <x v="0"/>
    <x v="0"/>
    <x v="5"/>
    <x v="0"/>
    <d v="2026-05-26T00:00:00"/>
    <d v="2026-06-05T00:00:00"/>
    <n v="14"/>
    <s v="Recovered"/>
    <x v="1"/>
    <x v="2"/>
    <n v="10"/>
    <x v="1"/>
    <x v="2"/>
  </r>
  <r>
    <s v="P008"/>
    <n v="31"/>
    <x v="1"/>
    <x v="2"/>
    <x v="5"/>
    <x v="2"/>
    <x v="0"/>
    <d v="2026-02-09T00:00:00"/>
    <d v="2026-02-27T00:00:00"/>
    <n v="5"/>
    <s v="Recovered"/>
    <x v="1"/>
    <x v="3"/>
    <n v="18"/>
    <x v="1"/>
    <x v="2"/>
  </r>
  <r>
    <s v="P009"/>
    <n v="62"/>
    <x v="1"/>
    <x v="0"/>
    <x v="0"/>
    <x v="6"/>
    <x v="1"/>
    <d v="2026-02-14T00:00:00"/>
    <d v="2026-02-23T00:00:00"/>
    <n v="8"/>
    <s v="Recovered"/>
    <x v="0"/>
    <x v="1"/>
    <n v="9"/>
    <x v="1"/>
    <x v="1"/>
  </r>
  <r>
    <s v="P010"/>
    <n v="28"/>
    <x v="1"/>
    <x v="4"/>
    <x v="0"/>
    <x v="7"/>
    <x v="2"/>
    <d v="2026-02-02T00:00:00"/>
    <d v="2026-02-09T00:00:00"/>
    <n v="10"/>
    <s v="Hospitalized"/>
    <x v="1"/>
    <x v="4"/>
    <n v="7"/>
    <x v="0"/>
    <x v="2"/>
  </r>
  <r>
    <s v="P011"/>
    <n v="29"/>
    <x v="0"/>
    <x v="4"/>
    <x v="0"/>
    <x v="0"/>
    <x v="0"/>
    <d v="2026-03-03T00:00:00"/>
    <d v="2026-03-15T00:00:00"/>
    <n v="8"/>
    <s v="Recovered"/>
    <x v="1"/>
    <x v="0"/>
    <n v="12"/>
    <x v="1"/>
    <x v="2"/>
  </r>
  <r>
    <s v="P012"/>
    <n v="54"/>
    <x v="1"/>
    <x v="5"/>
    <x v="6"/>
    <x v="8"/>
    <x v="0"/>
    <d v="2026-01-01T00:00:00"/>
    <d v="2026-01-15T00:00:00"/>
    <n v="7"/>
    <s v="Hospitalized"/>
    <x v="1"/>
    <x v="0"/>
    <n v="14"/>
    <x v="1"/>
    <x v="0"/>
  </r>
  <r>
    <s v="P013"/>
    <n v="59"/>
    <x v="0"/>
    <x v="0"/>
    <x v="0"/>
    <x v="0"/>
    <x v="0"/>
    <d v="2026-03-04T00:00:00"/>
    <d v="2026-03-24T00:00:00"/>
    <n v="13"/>
    <s v="Recovered"/>
    <x v="0"/>
    <x v="3"/>
    <n v="20"/>
    <x v="1"/>
    <x v="0"/>
  </r>
  <r>
    <s v="P014"/>
    <n v="32"/>
    <x v="1"/>
    <x v="0"/>
    <x v="4"/>
    <x v="6"/>
    <x v="1"/>
    <d v="2026-01-13T00:00:00"/>
    <d v="2026-02-01T00:00:00"/>
    <n v="6"/>
    <s v="Recovered"/>
    <x v="1"/>
    <x v="2"/>
    <n v="19"/>
    <x v="1"/>
    <x v="2"/>
  </r>
  <r>
    <s v="P015"/>
    <n v="70"/>
    <x v="0"/>
    <x v="2"/>
    <x v="2"/>
    <x v="9"/>
    <x v="1"/>
    <d v="2026-04-18T00:00:00"/>
    <d v="2026-05-18T00:00:00"/>
    <n v="11"/>
    <s v="Recovered"/>
    <x v="0"/>
    <x v="2"/>
    <n v="30"/>
    <x v="1"/>
    <x v="1"/>
  </r>
  <r>
    <s v="P016"/>
    <n v="79"/>
    <x v="1"/>
    <x v="4"/>
    <x v="7"/>
    <x v="4"/>
    <x v="0"/>
    <d v="2026-01-27T00:00:00"/>
    <d v="2026-02-05T00:00:00"/>
    <n v="3"/>
    <s v="Hospitalized"/>
    <x v="0"/>
    <x v="0"/>
    <n v="9"/>
    <x v="1"/>
    <x v="1"/>
  </r>
  <r>
    <s v="P017"/>
    <n v="79"/>
    <x v="1"/>
    <x v="4"/>
    <x v="7"/>
    <x v="4"/>
    <x v="0"/>
    <d v="2026-02-28T00:00:00"/>
    <d v="2026-03-20T00:00:00"/>
    <n v="1"/>
    <s v="Recovered"/>
    <x v="1"/>
    <x v="4"/>
    <n v="20"/>
    <x v="1"/>
    <x v="1"/>
  </r>
  <r>
    <s v="P018"/>
    <n v="79"/>
    <x v="1"/>
    <x v="6"/>
    <x v="8"/>
    <x v="10"/>
    <x v="1"/>
    <d v="2026-04-23T00:00:00"/>
    <d v="2026-05-20T00:00:00"/>
    <n v="1"/>
    <s v="Recovered"/>
    <x v="1"/>
    <x v="1"/>
    <n v="27"/>
    <x v="1"/>
    <x v="1"/>
  </r>
  <r>
    <s v="P019"/>
    <n v="54"/>
    <x v="0"/>
    <x v="4"/>
    <x v="7"/>
    <x v="4"/>
    <x v="2"/>
    <d v="2026-05-27T00:00:00"/>
    <d v="2026-06-08T00:00:00"/>
    <n v="10"/>
    <s v="Recovered"/>
    <x v="0"/>
    <x v="4"/>
    <n v="12"/>
    <x v="1"/>
    <x v="0"/>
  </r>
  <r>
    <s v="P020"/>
    <n v="28"/>
    <x v="0"/>
    <x v="7"/>
    <x v="3"/>
    <x v="3"/>
    <x v="1"/>
    <d v="2026-02-07T00:00:00"/>
    <d v="2026-02-13T00:00:00"/>
    <n v="6"/>
    <s v="Ongoing"/>
    <x v="1"/>
    <x v="4"/>
    <n v="6"/>
    <x v="0"/>
    <x v="2"/>
  </r>
  <r>
    <s v="P021"/>
    <n v="26"/>
    <x v="0"/>
    <x v="7"/>
    <x v="9"/>
    <x v="11"/>
    <x v="0"/>
    <d v="2026-04-03T00:00:00"/>
    <d v="2026-04-07T00:00:00"/>
    <n v="3"/>
    <s v="Recovered"/>
    <x v="1"/>
    <x v="2"/>
    <n v="4"/>
    <x v="0"/>
    <x v="2"/>
  </r>
  <r>
    <s v="P022"/>
    <n v="49"/>
    <x v="1"/>
    <x v="2"/>
    <x v="5"/>
    <x v="2"/>
    <x v="0"/>
    <d v="2026-05-08T00:00:00"/>
    <d v="2026-05-19T00:00:00"/>
    <n v="12"/>
    <s v="Recovered"/>
    <x v="0"/>
    <x v="4"/>
    <n v="11"/>
    <x v="1"/>
    <x v="0"/>
  </r>
  <r>
    <s v="P023"/>
    <n v="47"/>
    <x v="0"/>
    <x v="7"/>
    <x v="3"/>
    <x v="9"/>
    <x v="0"/>
    <d v="2026-05-24T00:00:00"/>
    <d v="2026-06-13T00:00:00"/>
    <n v="12"/>
    <s v="Recovered"/>
    <x v="0"/>
    <x v="1"/>
    <n v="20"/>
    <x v="1"/>
    <x v="0"/>
  </r>
  <r>
    <s v="P024"/>
    <n v="29"/>
    <x v="1"/>
    <x v="0"/>
    <x v="4"/>
    <x v="6"/>
    <x v="1"/>
    <d v="2026-01-09T00:00:00"/>
    <d v="2026-01-25T00:00:00"/>
    <n v="3"/>
    <s v="Recovered"/>
    <x v="1"/>
    <x v="3"/>
    <n v="16"/>
    <x v="1"/>
    <x v="2"/>
  </r>
  <r>
    <s v="P025"/>
    <n v="28"/>
    <x v="1"/>
    <x v="1"/>
    <x v="1"/>
    <x v="0"/>
    <x v="0"/>
    <d v="2026-04-14T00:00:00"/>
    <d v="2026-04-30T00:00:00"/>
    <n v="14"/>
    <s v="Recovered"/>
    <x v="1"/>
    <x v="1"/>
    <n v="16"/>
    <x v="1"/>
    <x v="2"/>
  </r>
  <r>
    <s v="P026"/>
    <n v="63"/>
    <x v="0"/>
    <x v="6"/>
    <x v="3"/>
    <x v="10"/>
    <x v="1"/>
    <d v="2026-03-09T00:00:00"/>
    <d v="2026-03-25T00:00:00"/>
    <n v="4"/>
    <s v="Ongoing"/>
    <x v="1"/>
    <x v="2"/>
    <n v="16"/>
    <x v="1"/>
    <x v="1"/>
  </r>
  <r>
    <s v="P027"/>
    <n v="65"/>
    <x v="0"/>
    <x v="7"/>
    <x v="3"/>
    <x v="3"/>
    <x v="1"/>
    <d v="2026-04-29T00:00:00"/>
    <d v="2026-05-05T00:00:00"/>
    <n v="6"/>
    <s v="Recovered"/>
    <x v="1"/>
    <x v="4"/>
    <n v="6"/>
    <x v="0"/>
    <x v="1"/>
  </r>
  <r>
    <s v="P028"/>
    <n v="44"/>
    <x v="0"/>
    <x v="0"/>
    <x v="4"/>
    <x v="0"/>
    <x v="0"/>
    <d v="2026-04-07T00:00:00"/>
    <d v="2026-04-12T00:00:00"/>
    <n v="12"/>
    <s v="Recovered"/>
    <x v="1"/>
    <x v="3"/>
    <n v="5"/>
    <x v="0"/>
    <x v="0"/>
  </r>
  <r>
    <s v="P029"/>
    <n v="66"/>
    <x v="0"/>
    <x v="4"/>
    <x v="0"/>
    <x v="0"/>
    <x v="2"/>
    <d v="2026-02-15T00:00:00"/>
    <d v="2026-03-15T00:00:00"/>
    <n v="9"/>
    <s v="Hospitalized"/>
    <x v="1"/>
    <x v="0"/>
    <n v="28"/>
    <x v="1"/>
    <x v="1"/>
  </r>
  <r>
    <s v="P030"/>
    <n v="70"/>
    <x v="1"/>
    <x v="7"/>
    <x v="9"/>
    <x v="9"/>
    <x v="1"/>
    <d v="2026-04-26T00:00:00"/>
    <d v="2026-05-19T00:00:00"/>
    <n v="1"/>
    <s v="Ongoing"/>
    <x v="0"/>
    <x v="0"/>
    <n v="23"/>
    <x v="1"/>
    <x v="1"/>
  </r>
  <r>
    <s v="P031"/>
    <n v="48"/>
    <x v="0"/>
    <x v="6"/>
    <x v="8"/>
    <x v="3"/>
    <x v="1"/>
    <d v="2026-04-14T00:00:00"/>
    <d v="2026-04-29T00:00:00"/>
    <n v="6"/>
    <s v="Ongoing"/>
    <x v="0"/>
    <x v="0"/>
    <n v="15"/>
    <x v="1"/>
    <x v="0"/>
  </r>
  <r>
    <s v="P032"/>
    <n v="19"/>
    <x v="0"/>
    <x v="4"/>
    <x v="0"/>
    <x v="0"/>
    <x v="2"/>
    <d v="2026-05-17T00:00:00"/>
    <d v="2026-06-15T00:00:00"/>
    <n v="10"/>
    <s v="Life-threatening"/>
    <x v="1"/>
    <x v="2"/>
    <n v="29"/>
    <x v="1"/>
    <x v="2"/>
  </r>
  <r>
    <s v="P033"/>
    <n v="41"/>
    <x v="1"/>
    <x v="2"/>
    <x v="2"/>
    <x v="2"/>
    <x v="0"/>
    <d v="2026-05-15T00:00:00"/>
    <d v="2026-06-04T00:00:00"/>
    <n v="1"/>
    <s v="Recovered"/>
    <x v="1"/>
    <x v="4"/>
    <n v="20"/>
    <x v="1"/>
    <x v="0"/>
  </r>
  <r>
    <s v="P034"/>
    <n v="40"/>
    <x v="1"/>
    <x v="2"/>
    <x v="2"/>
    <x v="0"/>
    <x v="1"/>
    <d v="2026-03-07T00:00:00"/>
    <d v="2026-03-29T00:00:00"/>
    <n v="3"/>
    <s v="Recovered"/>
    <x v="0"/>
    <x v="4"/>
    <n v="22"/>
    <x v="1"/>
    <x v="2"/>
  </r>
  <r>
    <s v="P035"/>
    <n v="39"/>
    <x v="0"/>
    <x v="6"/>
    <x v="3"/>
    <x v="3"/>
    <x v="1"/>
    <d v="2026-02-18T00:00:00"/>
    <d v="2026-03-05T00:00:00"/>
    <n v="6"/>
    <s v="Ongoing"/>
    <x v="0"/>
    <x v="0"/>
    <n v="15"/>
    <x v="1"/>
    <x v="2"/>
  </r>
  <r>
    <s v="P036"/>
    <n v="70"/>
    <x v="0"/>
    <x v="2"/>
    <x v="2"/>
    <x v="9"/>
    <x v="0"/>
    <d v="2026-01-05T00:00:00"/>
    <d v="2026-01-18T00:00:00"/>
    <n v="4"/>
    <s v="Recovered"/>
    <x v="1"/>
    <x v="3"/>
    <n v="13"/>
    <x v="1"/>
    <x v="1"/>
  </r>
  <r>
    <s v="P037"/>
    <n v="69"/>
    <x v="0"/>
    <x v="0"/>
    <x v="4"/>
    <x v="6"/>
    <x v="0"/>
    <d v="2026-05-04T00:00:00"/>
    <d v="2026-05-21T00:00:00"/>
    <n v="8"/>
    <s v="Hospitalized"/>
    <x v="1"/>
    <x v="4"/>
    <n v="17"/>
    <x v="1"/>
    <x v="1"/>
  </r>
  <r>
    <s v="P038"/>
    <n v="43"/>
    <x v="1"/>
    <x v="6"/>
    <x v="8"/>
    <x v="10"/>
    <x v="0"/>
    <d v="2026-03-03T00:00:00"/>
    <d v="2026-03-15T00:00:00"/>
    <n v="5"/>
    <s v="Recovered"/>
    <x v="0"/>
    <x v="1"/>
    <n v="12"/>
    <x v="1"/>
    <x v="0"/>
  </r>
  <r>
    <s v="P039"/>
    <n v="51"/>
    <x v="0"/>
    <x v="5"/>
    <x v="10"/>
    <x v="12"/>
    <x v="1"/>
    <d v="2026-02-17T00:00:00"/>
    <d v="2026-03-10T00:00:00"/>
    <n v="1"/>
    <s v="Recovered"/>
    <x v="1"/>
    <x v="0"/>
    <n v="21"/>
    <x v="1"/>
    <x v="0"/>
  </r>
  <r>
    <s v="P040"/>
    <n v="39"/>
    <x v="1"/>
    <x v="3"/>
    <x v="8"/>
    <x v="0"/>
    <x v="0"/>
    <d v="2026-03-17T00:00:00"/>
    <d v="2026-03-22T00:00:00"/>
    <n v="6"/>
    <s v="Recovered"/>
    <x v="0"/>
    <x v="1"/>
    <n v="5"/>
    <x v="0"/>
    <x v="2"/>
  </r>
  <r>
    <s v="P041"/>
    <n v="64"/>
    <x v="1"/>
    <x v="5"/>
    <x v="10"/>
    <x v="12"/>
    <x v="1"/>
    <d v="2026-05-24T00:00:00"/>
    <d v="2026-05-31T00:00:00"/>
    <n v="4"/>
    <s v="Recovered"/>
    <x v="1"/>
    <x v="3"/>
    <n v="7"/>
    <x v="0"/>
    <x v="1"/>
  </r>
  <r>
    <s v="P042"/>
    <n v="75"/>
    <x v="0"/>
    <x v="5"/>
    <x v="6"/>
    <x v="8"/>
    <x v="1"/>
    <d v="2026-04-10T00:00:00"/>
    <d v="2026-04-20T00:00:00"/>
    <n v="10"/>
    <s v="Ongoing"/>
    <x v="1"/>
    <x v="4"/>
    <n v="10"/>
    <x v="1"/>
    <x v="1"/>
  </r>
  <r>
    <s v="P043"/>
    <n v="22"/>
    <x v="1"/>
    <x v="2"/>
    <x v="2"/>
    <x v="9"/>
    <x v="2"/>
    <d v="2026-01-24T00:00:00"/>
    <d v="2026-02-10T00:00:00"/>
    <n v="12"/>
    <s v="Life-threatening"/>
    <x v="1"/>
    <x v="4"/>
    <n v="17"/>
    <x v="1"/>
    <x v="2"/>
  </r>
  <r>
    <s v="P044"/>
    <n v="52"/>
    <x v="0"/>
    <x v="4"/>
    <x v="7"/>
    <x v="4"/>
    <x v="2"/>
    <d v="2026-04-11T00:00:00"/>
    <d v="2026-04-12T00:00:00"/>
    <n v="8"/>
    <s v="Recovered"/>
    <x v="0"/>
    <x v="2"/>
    <n v="1"/>
    <x v="0"/>
    <x v="0"/>
  </r>
  <r>
    <s v="P045"/>
    <n v="29"/>
    <x v="1"/>
    <x v="5"/>
    <x v="10"/>
    <x v="5"/>
    <x v="1"/>
    <d v="2026-02-04T00:00:00"/>
    <d v="2026-02-12T00:00:00"/>
    <n v="13"/>
    <s v="Recovered"/>
    <x v="1"/>
    <x v="2"/>
    <n v="8"/>
    <x v="1"/>
    <x v="2"/>
  </r>
  <r>
    <s v="P046"/>
    <n v="68"/>
    <x v="1"/>
    <x v="3"/>
    <x v="3"/>
    <x v="3"/>
    <x v="0"/>
    <d v="2026-02-27T00:00:00"/>
    <d v="2026-03-10T00:00:00"/>
    <n v="13"/>
    <s v="Recovered"/>
    <x v="1"/>
    <x v="2"/>
    <n v="11"/>
    <x v="1"/>
    <x v="1"/>
  </r>
  <r>
    <s v="P047"/>
    <n v="27"/>
    <x v="1"/>
    <x v="4"/>
    <x v="0"/>
    <x v="7"/>
    <x v="0"/>
    <d v="2026-04-09T00:00:00"/>
    <d v="2026-04-26T00:00:00"/>
    <n v="7"/>
    <s v="Hospitalized"/>
    <x v="1"/>
    <x v="4"/>
    <n v="17"/>
    <x v="1"/>
    <x v="2"/>
  </r>
  <r>
    <s v="P048"/>
    <n v="66"/>
    <x v="1"/>
    <x v="0"/>
    <x v="0"/>
    <x v="0"/>
    <x v="1"/>
    <d v="2026-04-09T00:00:00"/>
    <d v="2026-04-26T00:00:00"/>
    <n v="14"/>
    <s v="Recovered"/>
    <x v="0"/>
    <x v="4"/>
    <n v="17"/>
    <x v="1"/>
    <x v="1"/>
  </r>
  <r>
    <s v="P049"/>
    <n v="66"/>
    <x v="0"/>
    <x v="2"/>
    <x v="5"/>
    <x v="0"/>
    <x v="1"/>
    <d v="2026-05-27T00:00:00"/>
    <d v="2026-06-24T00:00:00"/>
    <n v="14"/>
    <s v="Ongoing"/>
    <x v="1"/>
    <x v="3"/>
    <n v="28"/>
    <x v="1"/>
    <x v="1"/>
  </r>
  <r>
    <s v="P050"/>
    <n v="64"/>
    <x v="0"/>
    <x v="0"/>
    <x v="0"/>
    <x v="6"/>
    <x v="0"/>
    <d v="2026-04-09T00:00:00"/>
    <d v="2026-04-30T00:00:00"/>
    <n v="4"/>
    <s v="Recovered"/>
    <x v="1"/>
    <x v="4"/>
    <n v="21"/>
    <x v="1"/>
    <x v="1"/>
  </r>
  <r>
    <s v="P051"/>
    <n v="62"/>
    <x v="1"/>
    <x v="6"/>
    <x v="3"/>
    <x v="10"/>
    <x v="1"/>
    <d v="2026-05-22T00:00:00"/>
    <d v="2026-05-25T00:00:00"/>
    <n v="7"/>
    <s v="Recovered"/>
    <x v="0"/>
    <x v="1"/>
    <n v="3"/>
    <x v="0"/>
    <x v="1"/>
  </r>
  <r>
    <s v="P052"/>
    <n v="29"/>
    <x v="1"/>
    <x v="6"/>
    <x v="3"/>
    <x v="9"/>
    <x v="1"/>
    <d v="2026-05-25T00:00:00"/>
    <d v="2026-06-08T00:00:00"/>
    <n v="13"/>
    <s v="Recovered"/>
    <x v="0"/>
    <x v="4"/>
    <n v="14"/>
    <x v="1"/>
    <x v="2"/>
  </r>
  <r>
    <s v="P053"/>
    <n v="19"/>
    <x v="1"/>
    <x v="0"/>
    <x v="0"/>
    <x v="0"/>
    <x v="0"/>
    <d v="2026-03-24T00:00:00"/>
    <d v="2026-03-25T00:00:00"/>
    <n v="6"/>
    <s v="Recovered"/>
    <x v="1"/>
    <x v="4"/>
    <n v="1"/>
    <x v="0"/>
    <x v="2"/>
  </r>
  <r>
    <s v="P054"/>
    <n v="21"/>
    <x v="0"/>
    <x v="5"/>
    <x v="10"/>
    <x v="5"/>
    <x v="0"/>
    <d v="2026-01-19T00:00:00"/>
    <d v="2026-01-26T00:00:00"/>
    <n v="11"/>
    <s v="Recovered"/>
    <x v="1"/>
    <x v="1"/>
    <n v="7"/>
    <x v="0"/>
    <x v="2"/>
  </r>
  <r>
    <s v="P055"/>
    <n v="20"/>
    <x v="1"/>
    <x v="0"/>
    <x v="4"/>
    <x v="0"/>
    <x v="1"/>
    <d v="2026-05-06T00:00:00"/>
    <d v="2026-05-15T00:00:00"/>
    <n v="7"/>
    <s v="Recovered"/>
    <x v="1"/>
    <x v="2"/>
    <n v="9"/>
    <x v="1"/>
    <x v="2"/>
  </r>
  <r>
    <s v="P056"/>
    <n v="74"/>
    <x v="1"/>
    <x v="2"/>
    <x v="5"/>
    <x v="2"/>
    <x v="0"/>
    <d v="2026-02-25T00:00:00"/>
    <d v="2026-03-03T00:00:00"/>
    <n v="10"/>
    <s v="Recovered"/>
    <x v="1"/>
    <x v="1"/>
    <n v="6"/>
    <x v="0"/>
    <x v="1"/>
  </r>
  <r>
    <s v="P057"/>
    <n v="38"/>
    <x v="0"/>
    <x v="5"/>
    <x v="6"/>
    <x v="5"/>
    <x v="2"/>
    <d v="2026-05-27T00:00:00"/>
    <d v="2026-06-11T00:00:00"/>
    <n v="9"/>
    <s v="Hospitalized"/>
    <x v="1"/>
    <x v="0"/>
    <n v="15"/>
    <x v="1"/>
    <x v="2"/>
  </r>
  <r>
    <s v="P058"/>
    <n v="70"/>
    <x v="0"/>
    <x v="5"/>
    <x v="6"/>
    <x v="8"/>
    <x v="0"/>
    <d v="2026-05-24T00:00:00"/>
    <d v="2026-06-05T00:00:00"/>
    <n v="10"/>
    <s v="Recovered"/>
    <x v="1"/>
    <x v="3"/>
    <n v="12"/>
    <x v="1"/>
    <x v="1"/>
  </r>
  <r>
    <s v="P059"/>
    <n v="25"/>
    <x v="0"/>
    <x v="2"/>
    <x v="2"/>
    <x v="9"/>
    <x v="1"/>
    <d v="2026-03-31T00:00:00"/>
    <d v="2026-04-28T00:00:00"/>
    <n v="12"/>
    <s v="Recovered"/>
    <x v="1"/>
    <x v="4"/>
    <n v="28"/>
    <x v="1"/>
    <x v="2"/>
  </r>
  <r>
    <s v="P060"/>
    <n v="71"/>
    <x v="1"/>
    <x v="4"/>
    <x v="7"/>
    <x v="4"/>
    <x v="2"/>
    <d v="2026-05-21T00:00:00"/>
    <d v="2026-05-27T00:00:00"/>
    <n v="2"/>
    <s v="Life-threatening"/>
    <x v="1"/>
    <x v="3"/>
    <n v="6"/>
    <x v="0"/>
    <x v="1"/>
  </r>
  <r>
    <s v="P061"/>
    <n v="19"/>
    <x v="0"/>
    <x v="1"/>
    <x v="1"/>
    <x v="13"/>
    <x v="1"/>
    <d v="2026-04-19T00:00:00"/>
    <d v="2026-05-11T00:00:00"/>
    <n v="1"/>
    <s v="Recovered"/>
    <x v="1"/>
    <x v="1"/>
    <n v="22"/>
    <x v="1"/>
    <x v="2"/>
  </r>
  <r>
    <s v="P062"/>
    <n v="38"/>
    <x v="0"/>
    <x v="3"/>
    <x v="8"/>
    <x v="3"/>
    <x v="0"/>
    <d v="2026-03-27T00:00:00"/>
    <d v="2026-04-09T00:00:00"/>
    <n v="1"/>
    <s v="Recovered"/>
    <x v="0"/>
    <x v="1"/>
    <n v="13"/>
    <x v="1"/>
    <x v="2"/>
  </r>
  <r>
    <s v="P063"/>
    <n v="38"/>
    <x v="0"/>
    <x v="3"/>
    <x v="3"/>
    <x v="0"/>
    <x v="0"/>
    <d v="2026-04-05T00:00:00"/>
    <d v="2026-04-26T00:00:00"/>
    <n v="7"/>
    <s v="Recovered"/>
    <x v="1"/>
    <x v="4"/>
    <n v="21"/>
    <x v="1"/>
    <x v="2"/>
  </r>
  <r>
    <s v="P064"/>
    <n v="36"/>
    <x v="1"/>
    <x v="0"/>
    <x v="4"/>
    <x v="0"/>
    <x v="1"/>
    <d v="2026-04-20T00:00:00"/>
    <d v="2026-05-03T00:00:00"/>
    <n v="4"/>
    <s v="Recovered"/>
    <x v="1"/>
    <x v="4"/>
    <n v="13"/>
    <x v="1"/>
    <x v="2"/>
  </r>
  <r>
    <s v="P065"/>
    <n v="51"/>
    <x v="0"/>
    <x v="3"/>
    <x v="3"/>
    <x v="9"/>
    <x v="0"/>
    <d v="2026-02-08T00:00:00"/>
    <d v="2026-03-02T00:00:00"/>
    <n v="6"/>
    <s v="Hospitalized"/>
    <x v="1"/>
    <x v="4"/>
    <n v="22"/>
    <x v="1"/>
    <x v="0"/>
  </r>
  <r>
    <s v="P066"/>
    <n v="71"/>
    <x v="0"/>
    <x v="0"/>
    <x v="4"/>
    <x v="6"/>
    <x v="0"/>
    <d v="2026-02-26T00:00:00"/>
    <d v="2026-03-13T00:00:00"/>
    <n v="7"/>
    <s v="Hospitalized"/>
    <x v="1"/>
    <x v="3"/>
    <n v="15"/>
    <x v="1"/>
    <x v="1"/>
  </r>
  <r>
    <s v="P067"/>
    <n v="28"/>
    <x v="1"/>
    <x v="3"/>
    <x v="3"/>
    <x v="9"/>
    <x v="0"/>
    <d v="2026-02-07T00:00:00"/>
    <d v="2026-03-09T00:00:00"/>
    <n v="11"/>
    <s v="Hospitalized"/>
    <x v="1"/>
    <x v="2"/>
    <n v="30"/>
    <x v="1"/>
    <x v="2"/>
  </r>
  <r>
    <s v="P068"/>
    <n v="55"/>
    <x v="1"/>
    <x v="1"/>
    <x v="11"/>
    <x v="0"/>
    <x v="0"/>
    <d v="2026-01-30T00:00:00"/>
    <d v="2026-02-16T00:00:00"/>
    <n v="5"/>
    <s v="Recovered"/>
    <x v="0"/>
    <x v="4"/>
    <n v="17"/>
    <x v="1"/>
    <x v="0"/>
  </r>
  <r>
    <s v="P069"/>
    <n v="27"/>
    <x v="1"/>
    <x v="2"/>
    <x v="2"/>
    <x v="2"/>
    <x v="2"/>
    <d v="2026-03-10T00:00:00"/>
    <d v="2026-03-12T00:00:00"/>
    <n v="13"/>
    <s v="Recovered"/>
    <x v="1"/>
    <x v="2"/>
    <n v="2"/>
    <x v="0"/>
    <x v="2"/>
  </r>
  <r>
    <s v="P070"/>
    <n v="68"/>
    <x v="1"/>
    <x v="4"/>
    <x v="7"/>
    <x v="7"/>
    <x v="1"/>
    <d v="2026-03-21T00:00:00"/>
    <d v="2026-04-06T00:00:00"/>
    <n v="8"/>
    <s v="Recovered"/>
    <x v="1"/>
    <x v="0"/>
    <n v="16"/>
    <x v="1"/>
    <x v="1"/>
  </r>
  <r>
    <s v="P071"/>
    <n v="46"/>
    <x v="0"/>
    <x v="6"/>
    <x v="8"/>
    <x v="10"/>
    <x v="1"/>
    <d v="2026-05-02T00:00:00"/>
    <d v="2026-05-07T00:00:00"/>
    <n v="2"/>
    <s v="Recovered"/>
    <x v="0"/>
    <x v="1"/>
    <n v="5"/>
    <x v="0"/>
    <x v="0"/>
  </r>
  <r>
    <s v="P072"/>
    <n v="18"/>
    <x v="1"/>
    <x v="4"/>
    <x v="0"/>
    <x v="4"/>
    <x v="2"/>
    <d v="2026-03-31T00:00:00"/>
    <d v="2026-04-14T00:00:00"/>
    <n v="10"/>
    <s v="Hospitalized"/>
    <x v="0"/>
    <x v="1"/>
    <n v="14"/>
    <x v="1"/>
    <x v="2"/>
  </r>
  <r>
    <s v="P073"/>
    <n v="64"/>
    <x v="1"/>
    <x v="5"/>
    <x v="6"/>
    <x v="8"/>
    <x v="0"/>
    <d v="2026-02-25T00:00:00"/>
    <d v="2026-03-13T00:00:00"/>
    <n v="13"/>
    <s v="Recovered"/>
    <x v="0"/>
    <x v="4"/>
    <n v="16"/>
    <x v="1"/>
    <x v="1"/>
  </r>
  <r>
    <s v="P074"/>
    <n v="66"/>
    <x v="1"/>
    <x v="0"/>
    <x v="4"/>
    <x v="5"/>
    <x v="1"/>
    <d v="2026-02-16T00:00:00"/>
    <d v="2026-03-02T00:00:00"/>
    <n v="10"/>
    <s v="Ongoing"/>
    <x v="1"/>
    <x v="4"/>
    <n v="14"/>
    <x v="1"/>
    <x v="1"/>
  </r>
  <r>
    <s v="P075"/>
    <n v="43"/>
    <x v="0"/>
    <x v="7"/>
    <x v="9"/>
    <x v="11"/>
    <x v="0"/>
    <d v="2026-04-25T00:00:00"/>
    <d v="2026-05-18T00:00:00"/>
    <n v="14"/>
    <s v="Hospitalized"/>
    <x v="1"/>
    <x v="1"/>
    <n v="23"/>
    <x v="1"/>
    <x v="0"/>
  </r>
  <r>
    <s v="P076"/>
    <n v="75"/>
    <x v="0"/>
    <x v="7"/>
    <x v="3"/>
    <x v="11"/>
    <x v="1"/>
    <d v="2026-01-15T00:00:00"/>
    <d v="2026-01-20T00:00:00"/>
    <n v="12"/>
    <s v="Recovered"/>
    <x v="1"/>
    <x v="4"/>
    <n v="5"/>
    <x v="0"/>
    <x v="1"/>
  </r>
  <r>
    <s v="P077"/>
    <n v="39"/>
    <x v="0"/>
    <x v="5"/>
    <x v="10"/>
    <x v="12"/>
    <x v="0"/>
    <d v="2026-01-25T00:00:00"/>
    <d v="2026-01-29T00:00:00"/>
    <n v="10"/>
    <s v="Hospitalized"/>
    <x v="1"/>
    <x v="0"/>
    <n v="4"/>
    <x v="0"/>
    <x v="2"/>
  </r>
  <r>
    <s v="P078"/>
    <n v="53"/>
    <x v="1"/>
    <x v="5"/>
    <x v="10"/>
    <x v="12"/>
    <x v="0"/>
    <d v="2026-04-21T00:00:00"/>
    <d v="2026-05-03T00:00:00"/>
    <n v="3"/>
    <s v="Recovered"/>
    <x v="0"/>
    <x v="2"/>
    <n v="12"/>
    <x v="1"/>
    <x v="0"/>
  </r>
  <r>
    <s v="P079"/>
    <n v="43"/>
    <x v="0"/>
    <x v="6"/>
    <x v="8"/>
    <x v="10"/>
    <x v="2"/>
    <d v="2026-02-28T00:00:00"/>
    <d v="2026-03-25T00:00:00"/>
    <n v="1"/>
    <s v="Hospitalized"/>
    <x v="0"/>
    <x v="1"/>
    <n v="25"/>
    <x v="1"/>
    <x v="0"/>
  </r>
  <r>
    <s v="P080"/>
    <n v="72"/>
    <x v="0"/>
    <x v="2"/>
    <x v="2"/>
    <x v="9"/>
    <x v="1"/>
    <d v="2026-03-16T00:00:00"/>
    <d v="2026-04-09T00:00:00"/>
    <n v="7"/>
    <s v="Recovered"/>
    <x v="0"/>
    <x v="0"/>
    <n v="24"/>
    <x v="1"/>
    <x v="1"/>
  </r>
  <r>
    <s v="P081"/>
    <n v="57"/>
    <x v="1"/>
    <x v="2"/>
    <x v="2"/>
    <x v="0"/>
    <x v="1"/>
    <d v="2026-01-06T00:00:00"/>
    <d v="2026-01-10T00:00:00"/>
    <n v="6"/>
    <s v="Recovered"/>
    <x v="0"/>
    <x v="1"/>
    <n v="4"/>
    <x v="0"/>
    <x v="0"/>
  </r>
  <r>
    <s v="P082"/>
    <n v="68"/>
    <x v="0"/>
    <x v="4"/>
    <x v="0"/>
    <x v="7"/>
    <x v="0"/>
    <d v="2026-03-20T00:00:00"/>
    <d v="2026-04-08T00:00:00"/>
    <n v="13"/>
    <s v="Recovered"/>
    <x v="0"/>
    <x v="2"/>
    <n v="19"/>
    <x v="1"/>
    <x v="1"/>
  </r>
  <r>
    <s v="P083"/>
    <n v="36"/>
    <x v="0"/>
    <x v="4"/>
    <x v="0"/>
    <x v="4"/>
    <x v="0"/>
    <d v="2026-04-23T00:00:00"/>
    <d v="2026-05-19T00:00:00"/>
    <n v="14"/>
    <s v="Recovered"/>
    <x v="1"/>
    <x v="1"/>
    <n v="26"/>
    <x v="1"/>
    <x v="2"/>
  </r>
  <r>
    <s v="P084"/>
    <n v="53"/>
    <x v="1"/>
    <x v="7"/>
    <x v="3"/>
    <x v="3"/>
    <x v="1"/>
    <d v="2026-05-14T00:00:00"/>
    <d v="2026-05-19T00:00:00"/>
    <n v="7"/>
    <s v="Recovered"/>
    <x v="1"/>
    <x v="2"/>
    <n v="5"/>
    <x v="0"/>
    <x v="0"/>
  </r>
  <r>
    <s v="P085"/>
    <n v="19"/>
    <x v="0"/>
    <x v="4"/>
    <x v="7"/>
    <x v="4"/>
    <x v="1"/>
    <d v="2026-04-11T00:00:00"/>
    <d v="2026-04-22T00:00:00"/>
    <n v="8"/>
    <s v="Recovered"/>
    <x v="1"/>
    <x v="2"/>
    <n v="11"/>
    <x v="1"/>
    <x v="2"/>
  </r>
  <r>
    <s v="P086"/>
    <n v="66"/>
    <x v="1"/>
    <x v="5"/>
    <x v="10"/>
    <x v="8"/>
    <x v="2"/>
    <d v="2026-03-19T00:00:00"/>
    <d v="2026-03-28T00:00:00"/>
    <n v="2"/>
    <s v="Life-threatening"/>
    <x v="0"/>
    <x v="4"/>
    <n v="9"/>
    <x v="1"/>
    <x v="1"/>
  </r>
  <r>
    <s v="P087"/>
    <n v="39"/>
    <x v="0"/>
    <x v="1"/>
    <x v="11"/>
    <x v="13"/>
    <x v="2"/>
    <d v="2026-03-13T00:00:00"/>
    <d v="2026-03-27T00:00:00"/>
    <n v="12"/>
    <s v="Recovered"/>
    <x v="1"/>
    <x v="1"/>
    <n v="14"/>
    <x v="1"/>
    <x v="2"/>
  </r>
  <r>
    <s v="P088"/>
    <n v="36"/>
    <x v="1"/>
    <x v="5"/>
    <x v="10"/>
    <x v="12"/>
    <x v="1"/>
    <d v="2026-03-03T00:00:00"/>
    <d v="2026-03-13T00:00:00"/>
    <n v="9"/>
    <s v="Recovered"/>
    <x v="1"/>
    <x v="0"/>
    <n v="10"/>
    <x v="1"/>
    <x v="2"/>
  </r>
  <r>
    <s v="P089"/>
    <n v="31"/>
    <x v="0"/>
    <x v="7"/>
    <x v="3"/>
    <x v="11"/>
    <x v="0"/>
    <d v="2026-04-07T00:00:00"/>
    <d v="2026-04-08T00:00:00"/>
    <n v="9"/>
    <s v="Recovered"/>
    <x v="1"/>
    <x v="2"/>
    <n v="1"/>
    <x v="0"/>
    <x v="2"/>
  </r>
  <r>
    <s v="P090"/>
    <n v="31"/>
    <x v="1"/>
    <x v="1"/>
    <x v="1"/>
    <x v="1"/>
    <x v="1"/>
    <d v="2026-02-08T00:00:00"/>
    <d v="2026-02-11T00:00:00"/>
    <n v="7"/>
    <s v="Ongoing"/>
    <x v="0"/>
    <x v="1"/>
    <n v="3"/>
    <x v="0"/>
    <x v="2"/>
  </r>
  <r>
    <s v="P091"/>
    <n v="32"/>
    <x v="1"/>
    <x v="0"/>
    <x v="0"/>
    <x v="0"/>
    <x v="0"/>
    <d v="2026-02-07T00:00:00"/>
    <d v="2026-02-12T00:00:00"/>
    <n v="11"/>
    <s v="Hospitalized"/>
    <x v="0"/>
    <x v="1"/>
    <n v="5"/>
    <x v="0"/>
    <x v="2"/>
  </r>
  <r>
    <s v="P092"/>
    <n v="19"/>
    <x v="0"/>
    <x v="0"/>
    <x v="0"/>
    <x v="5"/>
    <x v="1"/>
    <d v="2026-03-15T00:00:00"/>
    <d v="2026-03-28T00:00:00"/>
    <n v="4"/>
    <s v="Recovered"/>
    <x v="0"/>
    <x v="2"/>
    <n v="13"/>
    <x v="1"/>
    <x v="2"/>
  </r>
  <r>
    <s v="P093"/>
    <n v="46"/>
    <x v="0"/>
    <x v="0"/>
    <x v="0"/>
    <x v="0"/>
    <x v="1"/>
    <d v="2026-02-16T00:00:00"/>
    <d v="2026-02-18T00:00:00"/>
    <n v="11"/>
    <s v="Ongoing"/>
    <x v="1"/>
    <x v="0"/>
    <n v="2"/>
    <x v="0"/>
    <x v="0"/>
  </r>
  <r>
    <s v="P094"/>
    <n v="43"/>
    <x v="1"/>
    <x v="7"/>
    <x v="3"/>
    <x v="3"/>
    <x v="1"/>
    <d v="2026-05-28T00:00:00"/>
    <d v="2026-06-05T00:00:00"/>
    <n v="6"/>
    <s v="Recovered"/>
    <x v="1"/>
    <x v="0"/>
    <n v="8"/>
    <x v="1"/>
    <x v="0"/>
  </r>
  <r>
    <s v="P095"/>
    <n v="63"/>
    <x v="1"/>
    <x v="2"/>
    <x v="2"/>
    <x v="9"/>
    <x v="1"/>
    <d v="2026-05-21T00:00:00"/>
    <d v="2026-06-15T00:00:00"/>
    <n v="1"/>
    <s v="Ongoing"/>
    <x v="1"/>
    <x v="3"/>
    <n v="25"/>
    <x v="1"/>
    <x v="1"/>
  </r>
  <r>
    <s v="P096"/>
    <n v="61"/>
    <x v="0"/>
    <x v="1"/>
    <x v="1"/>
    <x v="0"/>
    <x v="2"/>
    <d v="2026-05-13T00:00:00"/>
    <d v="2026-05-23T00:00:00"/>
    <n v="1"/>
    <s v="Life-threatening"/>
    <x v="1"/>
    <x v="0"/>
    <n v="10"/>
    <x v="1"/>
    <x v="1"/>
  </r>
  <r>
    <s v="P097"/>
    <n v="46"/>
    <x v="0"/>
    <x v="1"/>
    <x v="11"/>
    <x v="1"/>
    <x v="0"/>
    <d v="2026-01-11T00:00:00"/>
    <d v="2026-01-16T00:00:00"/>
    <n v="5"/>
    <s v="Recovered"/>
    <x v="1"/>
    <x v="1"/>
    <n v="5"/>
    <x v="0"/>
    <x v="0"/>
  </r>
  <r>
    <s v="P098"/>
    <n v="74"/>
    <x v="1"/>
    <x v="3"/>
    <x v="3"/>
    <x v="0"/>
    <x v="1"/>
    <d v="2026-02-24T00:00:00"/>
    <d v="2026-03-17T00:00:00"/>
    <n v="9"/>
    <s v="Recovered"/>
    <x v="0"/>
    <x v="4"/>
    <n v="21"/>
    <x v="1"/>
    <x v="1"/>
  </r>
  <r>
    <s v="P099"/>
    <n v="70"/>
    <x v="0"/>
    <x v="4"/>
    <x v="7"/>
    <x v="7"/>
    <x v="0"/>
    <d v="2026-03-04T00:00:00"/>
    <d v="2026-03-15T00:00:00"/>
    <n v="6"/>
    <s v="Recovered"/>
    <x v="1"/>
    <x v="0"/>
    <n v="11"/>
    <x v="1"/>
    <x v="1"/>
  </r>
  <r>
    <s v="P100"/>
    <n v="44"/>
    <x v="1"/>
    <x v="1"/>
    <x v="11"/>
    <x v="1"/>
    <x v="2"/>
    <d v="2026-04-18T00:00:00"/>
    <d v="2026-05-12T00:00:00"/>
    <n v="9"/>
    <s v="Life-threatening"/>
    <x v="0"/>
    <x v="1"/>
    <n v="24"/>
    <x v="1"/>
    <x v="0"/>
  </r>
  <r>
    <s v="P101"/>
    <n v="50"/>
    <x v="1"/>
    <x v="0"/>
    <x v="0"/>
    <x v="5"/>
    <x v="1"/>
    <d v="2026-05-30T00:00:00"/>
    <d v="2026-06-20T00:00:00"/>
    <n v="1"/>
    <s v="Ongoing"/>
    <x v="1"/>
    <x v="0"/>
    <n v="21"/>
    <x v="1"/>
    <x v="0"/>
  </r>
  <r>
    <s v="P102"/>
    <n v="37"/>
    <x v="0"/>
    <x v="5"/>
    <x v="10"/>
    <x v="12"/>
    <x v="2"/>
    <d v="2026-03-04T00:00:00"/>
    <d v="2026-03-11T00:00:00"/>
    <n v="1"/>
    <s v="Hospitalized"/>
    <x v="0"/>
    <x v="0"/>
    <n v="7"/>
    <x v="0"/>
    <x v="2"/>
  </r>
  <r>
    <s v="P103"/>
    <n v="73"/>
    <x v="1"/>
    <x v="5"/>
    <x v="10"/>
    <x v="12"/>
    <x v="0"/>
    <d v="2026-01-29T00:00:00"/>
    <d v="2026-02-28T00:00:00"/>
    <n v="8"/>
    <s v="Hospitalized"/>
    <x v="0"/>
    <x v="4"/>
    <n v="30"/>
    <x v="1"/>
    <x v="1"/>
  </r>
  <r>
    <s v="P104"/>
    <n v="64"/>
    <x v="0"/>
    <x v="6"/>
    <x v="3"/>
    <x v="3"/>
    <x v="1"/>
    <d v="2026-04-23T00:00:00"/>
    <d v="2026-05-12T00:00:00"/>
    <n v="4"/>
    <s v="Recovered"/>
    <x v="0"/>
    <x v="1"/>
    <n v="19"/>
    <x v="1"/>
    <x v="1"/>
  </r>
  <r>
    <s v="P105"/>
    <n v="20"/>
    <x v="0"/>
    <x v="6"/>
    <x v="3"/>
    <x v="10"/>
    <x v="1"/>
    <d v="2026-04-20T00:00:00"/>
    <d v="2026-05-13T00:00:00"/>
    <n v="7"/>
    <s v="Recovered"/>
    <x v="1"/>
    <x v="2"/>
    <n v="23"/>
    <x v="1"/>
    <x v="2"/>
  </r>
  <r>
    <s v="P106"/>
    <n v="74"/>
    <x v="1"/>
    <x v="7"/>
    <x v="9"/>
    <x v="11"/>
    <x v="1"/>
    <d v="2026-03-13T00:00:00"/>
    <d v="2026-03-18T00:00:00"/>
    <n v="3"/>
    <s v="Ongoing"/>
    <x v="1"/>
    <x v="2"/>
    <n v="5"/>
    <x v="0"/>
    <x v="1"/>
  </r>
  <r>
    <s v="P107"/>
    <n v="51"/>
    <x v="1"/>
    <x v="1"/>
    <x v="1"/>
    <x v="1"/>
    <x v="0"/>
    <d v="2026-03-19T00:00:00"/>
    <d v="2026-03-30T00:00:00"/>
    <n v="4"/>
    <s v="Recovered"/>
    <x v="0"/>
    <x v="2"/>
    <n v="11"/>
    <x v="1"/>
    <x v="0"/>
  </r>
  <r>
    <s v="P108"/>
    <n v="72"/>
    <x v="0"/>
    <x v="6"/>
    <x v="8"/>
    <x v="9"/>
    <x v="1"/>
    <d v="2026-03-15T00:00:00"/>
    <d v="2026-04-05T00:00:00"/>
    <n v="3"/>
    <s v="Recovered"/>
    <x v="1"/>
    <x v="3"/>
    <n v="21"/>
    <x v="1"/>
    <x v="1"/>
  </r>
  <r>
    <s v="P109"/>
    <n v="35"/>
    <x v="0"/>
    <x v="4"/>
    <x v="7"/>
    <x v="0"/>
    <x v="0"/>
    <d v="2026-05-28T00:00:00"/>
    <d v="2026-05-30T00:00:00"/>
    <n v="3"/>
    <s v="Hospitalized"/>
    <x v="0"/>
    <x v="4"/>
    <n v="2"/>
    <x v="0"/>
    <x v="2"/>
  </r>
  <r>
    <s v="P110"/>
    <n v="54"/>
    <x v="0"/>
    <x v="1"/>
    <x v="1"/>
    <x v="0"/>
    <x v="0"/>
    <d v="2026-05-17T00:00:00"/>
    <d v="2026-06-06T00:00:00"/>
    <n v="10"/>
    <s v="Recovered"/>
    <x v="1"/>
    <x v="1"/>
    <n v="20"/>
    <x v="1"/>
    <x v="0"/>
  </r>
  <r>
    <s v="P111"/>
    <n v="47"/>
    <x v="0"/>
    <x v="7"/>
    <x v="9"/>
    <x v="3"/>
    <x v="1"/>
    <d v="2026-05-08T00:00:00"/>
    <d v="2026-05-27T00:00:00"/>
    <n v="1"/>
    <s v="Recovered"/>
    <x v="1"/>
    <x v="4"/>
    <n v="19"/>
    <x v="1"/>
    <x v="0"/>
  </r>
  <r>
    <s v="P112"/>
    <n v="42"/>
    <x v="1"/>
    <x v="4"/>
    <x v="0"/>
    <x v="7"/>
    <x v="2"/>
    <d v="2026-01-22T00:00:00"/>
    <d v="2026-02-17T00:00:00"/>
    <n v="13"/>
    <s v="Hospitalized"/>
    <x v="1"/>
    <x v="4"/>
    <n v="26"/>
    <x v="1"/>
    <x v="0"/>
  </r>
  <r>
    <s v="P113"/>
    <n v="23"/>
    <x v="0"/>
    <x v="1"/>
    <x v="11"/>
    <x v="1"/>
    <x v="0"/>
    <d v="2026-02-11T00:00:00"/>
    <d v="2026-02-13T00:00:00"/>
    <n v="1"/>
    <s v="Recovered"/>
    <x v="1"/>
    <x v="4"/>
    <n v="2"/>
    <x v="0"/>
    <x v="2"/>
  </r>
  <r>
    <s v="P114"/>
    <n v="40"/>
    <x v="1"/>
    <x v="6"/>
    <x v="3"/>
    <x v="3"/>
    <x v="2"/>
    <d v="2026-01-27T00:00:00"/>
    <d v="2026-02-23T00:00:00"/>
    <n v="8"/>
    <s v="Recovered"/>
    <x v="1"/>
    <x v="3"/>
    <n v="27"/>
    <x v="1"/>
    <x v="2"/>
  </r>
  <r>
    <s v="P115"/>
    <n v="24"/>
    <x v="0"/>
    <x v="0"/>
    <x v="0"/>
    <x v="5"/>
    <x v="1"/>
    <d v="2026-05-02T00:00:00"/>
    <d v="2026-05-30T00:00:00"/>
    <n v="6"/>
    <s v="Ongoing"/>
    <x v="0"/>
    <x v="1"/>
    <n v="28"/>
    <x v="1"/>
    <x v="2"/>
  </r>
  <r>
    <s v="P116"/>
    <n v="68"/>
    <x v="0"/>
    <x v="0"/>
    <x v="0"/>
    <x v="0"/>
    <x v="1"/>
    <d v="2026-01-11T00:00:00"/>
    <d v="2026-02-07T00:00:00"/>
    <n v="7"/>
    <s v="Ongoing"/>
    <x v="1"/>
    <x v="2"/>
    <n v="27"/>
    <x v="1"/>
    <x v="1"/>
  </r>
  <r>
    <s v="P117"/>
    <n v="41"/>
    <x v="0"/>
    <x v="5"/>
    <x v="6"/>
    <x v="8"/>
    <x v="1"/>
    <d v="2026-02-25T00:00:00"/>
    <d v="2026-03-17T00:00:00"/>
    <n v="3"/>
    <s v="Ongoing"/>
    <x v="1"/>
    <x v="4"/>
    <n v="20"/>
    <x v="1"/>
    <x v="0"/>
  </r>
  <r>
    <s v="P118"/>
    <n v="76"/>
    <x v="1"/>
    <x v="7"/>
    <x v="9"/>
    <x v="9"/>
    <x v="1"/>
    <d v="2026-03-14T00:00:00"/>
    <d v="2026-03-15T00:00:00"/>
    <n v="9"/>
    <s v="Recovered"/>
    <x v="1"/>
    <x v="0"/>
    <n v="1"/>
    <x v="0"/>
    <x v="1"/>
  </r>
  <r>
    <s v="P119"/>
    <n v="56"/>
    <x v="1"/>
    <x v="7"/>
    <x v="9"/>
    <x v="3"/>
    <x v="0"/>
    <d v="2026-04-18T00:00:00"/>
    <d v="2026-04-24T00:00:00"/>
    <n v="2"/>
    <s v="Hospitalized"/>
    <x v="0"/>
    <x v="4"/>
    <n v="6"/>
    <x v="0"/>
    <x v="0"/>
  </r>
  <r>
    <s v="P120"/>
    <n v="66"/>
    <x v="1"/>
    <x v="4"/>
    <x v="0"/>
    <x v="0"/>
    <x v="0"/>
    <d v="2026-02-26T00:00:00"/>
    <d v="2026-03-10T00:00:00"/>
    <n v="14"/>
    <s v="Hospitalized"/>
    <x v="1"/>
    <x v="4"/>
    <n v="1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5AA34-A8E4-4D73-B3A6-E70AC2BA88EA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me to reaction">
  <location ref="K42:L4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C5C9D-6BD5-4BA9-808F-E10AC7CD45C5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RUGS">
  <location ref="H42:I51" firstHeaderRow="1" firstDataRow="1" firstDataCol="1"/>
  <pivotFields count="16">
    <pivotField dataField="1" showAll="0"/>
    <pivotField showAll="0"/>
    <pivotField showAll="0"/>
    <pivotField axis="axisRow" showAll="0">
      <items count="9">
        <item x="0"/>
        <item x="6"/>
        <item x="5"/>
        <item x="3"/>
        <item x="2"/>
        <item x="1"/>
        <item x="7"/>
        <item x="4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6C998-A20B-4841-A00C-E034AA5889BD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E57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D3776-BEB9-45DA-9CD9-258D74442954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ease">
  <location ref="A44:E51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1AC31-5C63-4C52-8CCB-CC474BEDE426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IME CATEGORY">
  <location ref="A38:E42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F71D8-4099-44D6-A12F-9D096DE1E381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ose">
  <location ref="H26:L40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13">
        <item x="4"/>
        <item x="11"/>
        <item x="7"/>
        <item x="6"/>
        <item x="1"/>
        <item x="5"/>
        <item x="8"/>
        <item x="10"/>
        <item x="2"/>
        <item x="0"/>
        <item x="3"/>
        <item x="9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ADBF7-AD96-46E1-A621-4D1AE086D217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verity">
  <location ref="A26:B30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AB22E-C9BC-466A-AC55-D61260D70D41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P20" firstHeaderRow="1" firstDataRow="2" firstDataCol="1"/>
  <pivotFields count="16">
    <pivotField dataField="1" showAll="0"/>
    <pivotField showAll="0"/>
    <pivotField showAll="0"/>
    <pivotField axis="axisRow" showAll="0">
      <items count="9">
        <item x="0"/>
        <item x="6"/>
        <item x="5"/>
        <item x="3"/>
        <item x="2"/>
        <item x="1"/>
        <item x="7"/>
        <item x="4"/>
        <item t="default"/>
      </items>
    </pivotField>
    <pivotField showAll="0"/>
    <pivotField axis="axisCol" showAll="0">
      <items count="15">
        <item x="11"/>
        <item x="6"/>
        <item x="4"/>
        <item x="7"/>
        <item x="3"/>
        <item x="0"/>
        <item x="8"/>
        <item x="2"/>
        <item x="5"/>
        <item x="13"/>
        <item x="12"/>
        <item x="9"/>
        <item x="10"/>
        <item x="1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Patient_ID" fld="0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E363C-C7F4-444B-9B7C-8EC113B3A5F4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rugs">
  <location ref="D26:F34" firstHeaderRow="1" firstDataRow="2" firstDataCol="1"/>
  <pivotFields count="16">
    <pivotField dataField="1" showAll="0"/>
    <pivotField showAll="0"/>
    <pivotField showAll="0"/>
    <pivotField axis="axisRow" showAll="0">
      <items count="9">
        <item x="0"/>
        <item x="6"/>
        <item x="5"/>
        <item x="3"/>
        <item x="2"/>
        <item x="1"/>
        <item x="7"/>
        <item x="4"/>
        <item t="default"/>
      </items>
    </pivotField>
    <pivotField showAll="0"/>
    <pivotField showAll="0"/>
    <pivotField axis="axisCol" showAll="0">
      <items count="4">
        <item h="1" x="1"/>
        <item h="1" x="0"/>
        <item x="2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4"/>
    </i>
    <i>
      <x v="5"/>
    </i>
    <i>
      <x v="7"/>
    </i>
    <i t="grand">
      <x/>
    </i>
  </rowItems>
  <colFields count="1">
    <field x="6"/>
  </colFields>
  <colItems count="2">
    <i>
      <x v="2"/>
    </i>
    <i t="grand">
      <x/>
    </i>
  </colItems>
  <dataFields count="1">
    <dataField name="Count of Patient_ID" fld="0" subtotal="count" baseField="0" baseItem="0"/>
  </dataFields>
  <chartFormats count="1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52EC9-5914-4E24-B421-E46A35E179D7}" name="ADR_Data" displayName="ADR_Data" ref="A1:P121" totalsRowShown="0" headerRowDxfId="10" headerRowBorderDxfId="9" tableBorderDxfId="8">
  <autoFilter ref="A1:P121" xr:uid="{35952EC9-5914-4E24-B421-E46A35E179D7}"/>
  <tableColumns count="16">
    <tableColumn id="1" xr3:uid="{4FFBFA07-CA4B-4F2A-80E1-2CE518E5823E}" name="Patient_ID"/>
    <tableColumn id="2" xr3:uid="{7986B6B9-752C-4919-B07C-C32865B22185}" name="Age"/>
    <tableColumn id="3" xr3:uid="{E71293D5-F7D7-4AC0-92E9-E437F1FAA983}" name="Gender"/>
    <tableColumn id="4" xr3:uid="{E9F1DE62-6DD6-469F-911F-8F872E6580F9}" name="Drug"/>
    <tableColumn id="5" xr3:uid="{A6AFEB51-5AD7-4D20-A6AF-AD1CA1C88050}" name="Dose"/>
    <tableColumn id="6" xr3:uid="{5EBF9E2E-9889-49EE-AC98-9D89E03409AD}" name="Reaction"/>
    <tableColumn id="7" xr3:uid="{74BA7F7F-2508-49C0-89AF-92A08DC4B631}" name="Severity"/>
    <tableColumn id="8" xr3:uid="{83A47CBF-6B02-4F53-8354-94134DD34195}" name="Drug_Start_Date" dataDxfId="7"/>
    <tableColumn id="9" xr3:uid="{3B818767-7CDE-476D-B0A2-FB831A6BBD1B}" name="Reaction_Date" dataDxfId="6"/>
    <tableColumn id="10" xr3:uid="{711B4D29-B787-4AB5-AB4A-797BD807AB65}" name="Reaction_Duration_Days"/>
    <tableColumn id="11" xr3:uid="{8CA63747-556D-4D33-B190-D7A8106108FE}" name="Outcome"/>
    <tableColumn id="12" xr3:uid="{787C6AE4-6FAA-4067-BD8F-9F45F347C579}" name="Concomitant_Medication"/>
    <tableColumn id="13" xr3:uid="{BD9ED566-0E11-4B67-A2D7-19F6AAD04FE9}" name="Medical_History"/>
    <tableColumn id="14" xr3:uid="{EECC4D65-F740-4BEF-AE44-A2EE02296BEE}" name="Time_to_Reaction_Days"/>
    <tableColumn id="15" xr3:uid="{AE5DC5D1-99E6-451B-B34C-20FB67740197}" name="Time_category" dataDxfId="5">
      <calculatedColumnFormula>IF(N2&lt;=7,"Early",IF(N2&lt;=30,"Intermediate","Late"))</calculatedColumnFormula>
    </tableColumn>
    <tableColumn id="16" xr3:uid="{46DC6C99-29FC-473E-8336-560E8B4781C8}" name="Age_group" dataDxfId="4">
      <calculatedColumnFormula>IF(ADR_Data[[#This Row],[Age]]&lt;18,"&lt;18",IF(ADR_Data[[#This Row],[Age]]&lt;=40,"18-40",IF(ADR_Data[[#This Row],[Age]]&lt;=60,"41-60","&gt;60")))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F1063F-43A2-427B-90D9-8CB098736421}" name="Table3" displayName="Table3" ref="A1:B6" totalsRowShown="0" headerRowDxfId="0" dataDxfId="1">
  <autoFilter ref="A1:B6" xr:uid="{02F1063F-43A2-427B-90D9-8CB098736421}"/>
  <tableColumns count="2">
    <tableColumn id="1" xr3:uid="{F08D3F6D-39B8-4988-98DB-6FC725B849F3}" name="Metric" dataDxfId="3"/>
    <tableColumn id="2" xr3:uid="{47D06F2D-C05F-4707-B238-81EDB2EAEAA8}" name="Valu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x14ac:dyDescent="0.35">
      <c r="A1" t="s">
        <v>184</v>
      </c>
    </row>
    <row r="3" spans="1:1" x14ac:dyDescent="0.35">
      <c r="A3" t="s">
        <v>185</v>
      </c>
    </row>
    <row r="5" spans="1:1" x14ac:dyDescent="0.35">
      <c r="A5" t="s">
        <v>186</v>
      </c>
    </row>
    <row r="6" spans="1:1" x14ac:dyDescent="0.35">
      <c r="A6" t="s">
        <v>187</v>
      </c>
    </row>
    <row r="8" spans="1:1" x14ac:dyDescent="0.35">
      <c r="A8" t="s">
        <v>188</v>
      </c>
    </row>
    <row r="9" spans="1:1" x14ac:dyDescent="0.35">
      <c r="A9" t="s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opLeftCell="A2" workbookViewId="0">
      <selection activeCell="F8" sqref="F8"/>
    </sheetView>
  </sheetViews>
  <sheetFormatPr defaultRowHeight="14.5" x14ac:dyDescent="0.35"/>
  <cols>
    <col min="1" max="1" width="11.7265625" customWidth="1"/>
    <col min="3" max="3" width="9" customWidth="1"/>
    <col min="4" max="4" width="14.36328125" customWidth="1"/>
    <col min="6" max="6" width="16.26953125" customWidth="1"/>
    <col min="7" max="7" width="11.81640625" customWidth="1"/>
    <col min="8" max="8" width="16.90625" customWidth="1"/>
    <col min="9" max="9" width="15.08984375" customWidth="1"/>
    <col min="10" max="10" width="23.54296875" customWidth="1"/>
    <col min="11" max="11" width="10.54296875" customWidth="1"/>
    <col min="12" max="12" width="24.08984375" customWidth="1"/>
    <col min="13" max="13" width="21.08984375" customWidth="1"/>
    <col min="14" max="16" width="23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201</v>
      </c>
      <c r="P1" s="2" t="s">
        <v>204</v>
      </c>
    </row>
    <row r="2" spans="1:16" x14ac:dyDescent="0.35">
      <c r="A2" t="s">
        <v>14</v>
      </c>
      <c r="B2">
        <v>56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46129</v>
      </c>
      <c r="I2" s="1">
        <v>46136</v>
      </c>
      <c r="J2">
        <v>10</v>
      </c>
      <c r="K2" t="s">
        <v>20</v>
      </c>
      <c r="L2" t="s">
        <v>21</v>
      </c>
      <c r="M2" t="s">
        <v>22</v>
      </c>
      <c r="N2">
        <v>7</v>
      </c>
      <c r="O2" t="str">
        <f t="shared" ref="O2:O33" si="0">IF(N2&lt;=7,"Early",IF(N2&lt;=30,"Intermediate","Late"))</f>
        <v>Early</v>
      </c>
      <c r="P2" t="str">
        <f>IF(ADR_Data[[#This Row],[Age]]&lt;18,"&lt;18",IF(ADR_Data[[#This Row],[Age]]&lt;=40,"18-40",IF(ADR_Data[[#This Row],[Age]]&lt;=60,"41-60","&gt;60")))</f>
        <v>41-60</v>
      </c>
    </row>
    <row r="3" spans="1:16" x14ac:dyDescent="0.35">
      <c r="A3" t="s">
        <v>23</v>
      </c>
      <c r="B3">
        <v>70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s="1">
        <v>46153</v>
      </c>
      <c r="I3" s="1">
        <v>46177</v>
      </c>
      <c r="J3">
        <v>12</v>
      </c>
      <c r="K3" t="s">
        <v>28</v>
      </c>
      <c r="L3" t="s">
        <v>21</v>
      </c>
      <c r="M3" t="s">
        <v>29</v>
      </c>
      <c r="N3">
        <v>24</v>
      </c>
      <c r="O3" t="str">
        <f t="shared" si="0"/>
        <v>Intermediate</v>
      </c>
      <c r="P3" t="str">
        <f>IF(ADR_Data[[#This Row],[Age]]&lt;18,"&lt;18",IF(ADR_Data[[#This Row],[Age]]&lt;=40,"18-40",IF(ADR_Data[[#This Row],[Age]]&lt;=60,"41-60","&gt;60")))</f>
        <v>&gt;60</v>
      </c>
    </row>
    <row r="4" spans="1:16" x14ac:dyDescent="0.35">
      <c r="A4" t="s">
        <v>30</v>
      </c>
      <c r="B4">
        <v>38</v>
      </c>
      <c r="C4" t="s">
        <v>31</v>
      </c>
      <c r="D4" t="s">
        <v>32</v>
      </c>
      <c r="E4" t="s">
        <v>33</v>
      </c>
      <c r="F4" t="s">
        <v>34</v>
      </c>
      <c r="G4" t="s">
        <v>27</v>
      </c>
      <c r="H4" s="1">
        <v>46044</v>
      </c>
      <c r="I4" s="1">
        <v>46061</v>
      </c>
      <c r="J4">
        <v>11</v>
      </c>
      <c r="K4" t="s">
        <v>35</v>
      </c>
      <c r="L4" t="s">
        <v>21</v>
      </c>
      <c r="M4" t="s">
        <v>29</v>
      </c>
      <c r="N4">
        <v>17</v>
      </c>
      <c r="O4" t="str">
        <f t="shared" si="0"/>
        <v>Intermediate</v>
      </c>
      <c r="P4" t="str">
        <f>IF(ADR_Data[[#This Row],[Age]]&lt;18,"&lt;18",IF(ADR_Data[[#This Row],[Age]]&lt;=40,"18-40",IF(ADR_Data[[#This Row],[Age]]&lt;=60,"41-60","&gt;60")))</f>
        <v>18-40</v>
      </c>
    </row>
    <row r="5" spans="1:16" x14ac:dyDescent="0.35">
      <c r="A5" t="s">
        <v>36</v>
      </c>
      <c r="B5">
        <v>77</v>
      </c>
      <c r="C5" t="s">
        <v>15</v>
      </c>
      <c r="D5" t="s">
        <v>37</v>
      </c>
      <c r="E5" t="s">
        <v>38</v>
      </c>
      <c r="F5" t="s">
        <v>39</v>
      </c>
      <c r="G5" t="s">
        <v>27</v>
      </c>
      <c r="H5" s="1">
        <v>46073</v>
      </c>
      <c r="I5" s="1">
        <v>46076</v>
      </c>
      <c r="J5">
        <v>5</v>
      </c>
      <c r="K5" t="s">
        <v>35</v>
      </c>
      <c r="L5" t="s">
        <v>40</v>
      </c>
      <c r="M5" t="s">
        <v>22</v>
      </c>
      <c r="N5">
        <v>3</v>
      </c>
      <c r="O5" t="str">
        <f t="shared" si="0"/>
        <v>Early</v>
      </c>
      <c r="P5" t="str">
        <f>IF(ADR_Data[[#This Row],[Age]]&lt;18,"&lt;18",IF(ADR_Data[[#This Row],[Age]]&lt;=40,"18-40",IF(ADR_Data[[#This Row],[Age]]&lt;=60,"41-60","&gt;60")))</f>
        <v>&gt;60</v>
      </c>
    </row>
    <row r="6" spans="1:16" x14ac:dyDescent="0.35">
      <c r="A6" t="s">
        <v>41</v>
      </c>
      <c r="B6">
        <v>35</v>
      </c>
      <c r="C6" t="s">
        <v>15</v>
      </c>
      <c r="D6" t="s">
        <v>42</v>
      </c>
      <c r="E6" t="s">
        <v>17</v>
      </c>
      <c r="F6" t="s">
        <v>43</v>
      </c>
      <c r="G6" t="s">
        <v>44</v>
      </c>
      <c r="H6" s="1">
        <v>46036</v>
      </c>
      <c r="I6" s="1">
        <v>46062</v>
      </c>
      <c r="J6">
        <v>5</v>
      </c>
      <c r="K6" t="s">
        <v>28</v>
      </c>
      <c r="L6" t="s">
        <v>40</v>
      </c>
      <c r="M6" t="s">
        <v>22</v>
      </c>
      <c r="N6">
        <v>26</v>
      </c>
      <c r="O6" t="str">
        <f t="shared" si="0"/>
        <v>Intermediate</v>
      </c>
      <c r="P6" t="str">
        <f>IF(ADR_Data[[#This Row],[Age]]&lt;18,"&lt;18",IF(ADR_Data[[#This Row],[Age]]&lt;=40,"18-40",IF(ADR_Data[[#This Row],[Age]]&lt;=60,"41-60","&gt;60")))</f>
        <v>18-40</v>
      </c>
    </row>
    <row r="7" spans="1:16" x14ac:dyDescent="0.35">
      <c r="A7" t="s">
        <v>45</v>
      </c>
      <c r="B7">
        <v>24</v>
      </c>
      <c r="C7" t="s">
        <v>15</v>
      </c>
      <c r="D7" t="s">
        <v>16</v>
      </c>
      <c r="E7" t="s">
        <v>46</v>
      </c>
      <c r="F7" t="s">
        <v>47</v>
      </c>
      <c r="G7" t="s">
        <v>44</v>
      </c>
      <c r="H7" s="1">
        <v>46057</v>
      </c>
      <c r="I7" s="1">
        <v>46065</v>
      </c>
      <c r="J7">
        <v>4</v>
      </c>
      <c r="K7" t="s">
        <v>28</v>
      </c>
      <c r="L7" t="s">
        <v>40</v>
      </c>
      <c r="M7" t="s">
        <v>29</v>
      </c>
      <c r="N7">
        <v>8</v>
      </c>
      <c r="O7" t="str">
        <f t="shared" si="0"/>
        <v>Intermediate</v>
      </c>
      <c r="P7" t="str">
        <f>IF(ADR_Data[[#This Row],[Age]]&lt;18,"&lt;18",IF(ADR_Data[[#This Row],[Age]]&lt;=40,"18-40",IF(ADR_Data[[#This Row],[Age]]&lt;=60,"41-60","&gt;60")))</f>
        <v>18-40</v>
      </c>
    </row>
    <row r="8" spans="1:16" x14ac:dyDescent="0.35">
      <c r="A8" t="s">
        <v>48</v>
      </c>
      <c r="B8">
        <v>21</v>
      </c>
      <c r="C8" t="s">
        <v>15</v>
      </c>
      <c r="D8" t="s">
        <v>16</v>
      </c>
      <c r="E8" t="s">
        <v>17</v>
      </c>
      <c r="F8" t="s">
        <v>47</v>
      </c>
      <c r="G8" t="s">
        <v>19</v>
      </c>
      <c r="H8" s="1">
        <v>46168</v>
      </c>
      <c r="I8" s="1">
        <v>46178</v>
      </c>
      <c r="J8">
        <v>14</v>
      </c>
      <c r="K8" t="s">
        <v>28</v>
      </c>
      <c r="L8" t="s">
        <v>40</v>
      </c>
      <c r="M8" t="s">
        <v>49</v>
      </c>
      <c r="N8">
        <v>10</v>
      </c>
      <c r="O8" t="str">
        <f t="shared" si="0"/>
        <v>Intermediate</v>
      </c>
      <c r="P8" t="str">
        <f>IF(ADR_Data[[#This Row],[Age]]&lt;18,"&lt;18",IF(ADR_Data[[#This Row],[Age]]&lt;=40,"18-40",IF(ADR_Data[[#This Row],[Age]]&lt;=60,"41-60","&gt;60")))</f>
        <v>18-40</v>
      </c>
    </row>
    <row r="9" spans="1:16" x14ac:dyDescent="0.35">
      <c r="A9" t="s">
        <v>50</v>
      </c>
      <c r="B9">
        <v>31</v>
      </c>
      <c r="C9" t="s">
        <v>31</v>
      </c>
      <c r="D9" t="s">
        <v>32</v>
      </c>
      <c r="E9" t="s">
        <v>51</v>
      </c>
      <c r="F9" t="s">
        <v>34</v>
      </c>
      <c r="G9" t="s">
        <v>19</v>
      </c>
      <c r="H9" s="1">
        <v>46062</v>
      </c>
      <c r="I9" s="1">
        <v>46080</v>
      </c>
      <c r="J9">
        <v>5</v>
      </c>
      <c r="K9" t="s">
        <v>28</v>
      </c>
      <c r="L9" t="s">
        <v>40</v>
      </c>
      <c r="M9" t="s">
        <v>52</v>
      </c>
      <c r="N9">
        <v>18</v>
      </c>
      <c r="O9" t="str">
        <f t="shared" si="0"/>
        <v>Intermediate</v>
      </c>
      <c r="P9" t="str">
        <f>IF(ADR_Data[[#This Row],[Age]]&lt;18,"&lt;18",IF(ADR_Data[[#This Row],[Age]]&lt;=40,"18-40",IF(ADR_Data[[#This Row],[Age]]&lt;=60,"41-60","&gt;60")))</f>
        <v>18-40</v>
      </c>
    </row>
    <row r="10" spans="1:16" x14ac:dyDescent="0.35">
      <c r="A10" t="s">
        <v>53</v>
      </c>
      <c r="B10">
        <v>62</v>
      </c>
      <c r="C10" t="s">
        <v>31</v>
      </c>
      <c r="D10" t="s">
        <v>16</v>
      </c>
      <c r="E10" t="s">
        <v>17</v>
      </c>
      <c r="F10" t="s">
        <v>54</v>
      </c>
      <c r="G10" t="s">
        <v>27</v>
      </c>
      <c r="H10" s="1">
        <v>46067</v>
      </c>
      <c r="I10" s="1">
        <v>46076</v>
      </c>
      <c r="J10">
        <v>8</v>
      </c>
      <c r="K10" t="s">
        <v>28</v>
      </c>
      <c r="L10" t="s">
        <v>21</v>
      </c>
      <c r="M10" t="s">
        <v>29</v>
      </c>
      <c r="N10">
        <v>9</v>
      </c>
      <c r="O10" t="str">
        <f t="shared" si="0"/>
        <v>Intermediate</v>
      </c>
      <c r="P10" t="str">
        <f>IF(ADR_Data[[#This Row],[Age]]&lt;18,"&lt;18",IF(ADR_Data[[#This Row],[Age]]&lt;=40,"18-40",IF(ADR_Data[[#This Row],[Age]]&lt;=60,"41-60","&gt;60")))</f>
        <v>&gt;60</v>
      </c>
    </row>
    <row r="11" spans="1:16" x14ac:dyDescent="0.35">
      <c r="A11" t="s">
        <v>55</v>
      </c>
      <c r="B11">
        <v>28</v>
      </c>
      <c r="C11" t="s">
        <v>31</v>
      </c>
      <c r="D11" t="s">
        <v>42</v>
      </c>
      <c r="E11" t="s">
        <v>17</v>
      </c>
      <c r="F11" t="s">
        <v>56</v>
      </c>
      <c r="G11" t="s">
        <v>44</v>
      </c>
      <c r="H11" s="1">
        <v>46055</v>
      </c>
      <c r="I11" s="1">
        <v>46062</v>
      </c>
      <c r="J11">
        <v>10</v>
      </c>
      <c r="K11" t="s">
        <v>20</v>
      </c>
      <c r="L11" t="s">
        <v>40</v>
      </c>
      <c r="M11" t="s">
        <v>57</v>
      </c>
      <c r="N11">
        <v>7</v>
      </c>
      <c r="O11" t="str">
        <f t="shared" si="0"/>
        <v>Early</v>
      </c>
      <c r="P11" t="str">
        <f>IF(ADR_Data[[#This Row],[Age]]&lt;18,"&lt;18",IF(ADR_Data[[#This Row],[Age]]&lt;=40,"18-40",IF(ADR_Data[[#This Row],[Age]]&lt;=60,"41-60","&gt;60")))</f>
        <v>18-40</v>
      </c>
    </row>
    <row r="12" spans="1:16" x14ac:dyDescent="0.35">
      <c r="A12" t="s">
        <v>58</v>
      </c>
      <c r="B12">
        <v>29</v>
      </c>
      <c r="C12" t="s">
        <v>15</v>
      </c>
      <c r="D12" t="s">
        <v>42</v>
      </c>
      <c r="E12" t="s">
        <v>17</v>
      </c>
      <c r="F12" t="s">
        <v>18</v>
      </c>
      <c r="G12" t="s">
        <v>19</v>
      </c>
      <c r="H12" s="1">
        <v>46084</v>
      </c>
      <c r="I12" s="1">
        <v>46096</v>
      </c>
      <c r="J12">
        <v>8</v>
      </c>
      <c r="K12" t="s">
        <v>28</v>
      </c>
      <c r="L12" t="s">
        <v>40</v>
      </c>
      <c r="M12" t="s">
        <v>22</v>
      </c>
      <c r="N12">
        <v>12</v>
      </c>
      <c r="O12" t="str">
        <f t="shared" si="0"/>
        <v>Intermediate</v>
      </c>
      <c r="P12" t="str">
        <f>IF(ADR_Data[[#This Row],[Age]]&lt;18,"&lt;18",IF(ADR_Data[[#This Row],[Age]]&lt;=40,"18-40",IF(ADR_Data[[#This Row],[Age]]&lt;=60,"41-60","&gt;60")))</f>
        <v>18-40</v>
      </c>
    </row>
    <row r="13" spans="1:16" x14ac:dyDescent="0.35">
      <c r="A13" t="s">
        <v>59</v>
      </c>
      <c r="B13">
        <v>54</v>
      </c>
      <c r="C13" t="s">
        <v>31</v>
      </c>
      <c r="D13" t="s">
        <v>60</v>
      </c>
      <c r="E13" t="s">
        <v>61</v>
      </c>
      <c r="F13" t="s">
        <v>62</v>
      </c>
      <c r="G13" t="s">
        <v>19</v>
      </c>
      <c r="H13" s="1">
        <v>46023</v>
      </c>
      <c r="I13" s="1">
        <v>46037</v>
      </c>
      <c r="J13">
        <v>7</v>
      </c>
      <c r="K13" t="s">
        <v>20</v>
      </c>
      <c r="L13" t="s">
        <v>40</v>
      </c>
      <c r="M13" t="s">
        <v>22</v>
      </c>
      <c r="N13">
        <v>14</v>
      </c>
      <c r="O13" t="str">
        <f t="shared" si="0"/>
        <v>Intermediate</v>
      </c>
      <c r="P13" t="str">
        <f>IF(ADR_Data[[#This Row],[Age]]&lt;18,"&lt;18",IF(ADR_Data[[#This Row],[Age]]&lt;=40,"18-40",IF(ADR_Data[[#This Row],[Age]]&lt;=60,"41-60","&gt;60")))</f>
        <v>41-60</v>
      </c>
    </row>
    <row r="14" spans="1:16" x14ac:dyDescent="0.35">
      <c r="A14" t="s">
        <v>63</v>
      </c>
      <c r="B14">
        <v>59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s="1">
        <v>46085</v>
      </c>
      <c r="I14" s="1">
        <v>46105</v>
      </c>
      <c r="J14">
        <v>13</v>
      </c>
      <c r="K14" t="s">
        <v>28</v>
      </c>
      <c r="L14" t="s">
        <v>21</v>
      </c>
      <c r="M14" t="s">
        <v>52</v>
      </c>
      <c r="N14">
        <v>20</v>
      </c>
      <c r="O14" t="str">
        <f t="shared" si="0"/>
        <v>Intermediate</v>
      </c>
      <c r="P14" t="str">
        <f>IF(ADR_Data[[#This Row],[Age]]&lt;18,"&lt;18",IF(ADR_Data[[#This Row],[Age]]&lt;=40,"18-40",IF(ADR_Data[[#This Row],[Age]]&lt;=60,"41-60","&gt;60")))</f>
        <v>41-60</v>
      </c>
    </row>
    <row r="15" spans="1:16" x14ac:dyDescent="0.35">
      <c r="A15" t="s">
        <v>64</v>
      </c>
      <c r="B15">
        <v>32</v>
      </c>
      <c r="C15" t="s">
        <v>31</v>
      </c>
      <c r="D15" t="s">
        <v>16</v>
      </c>
      <c r="E15" t="s">
        <v>46</v>
      </c>
      <c r="F15" t="s">
        <v>54</v>
      </c>
      <c r="G15" t="s">
        <v>27</v>
      </c>
      <c r="H15" s="1">
        <v>46035</v>
      </c>
      <c r="I15" s="1">
        <v>46054</v>
      </c>
      <c r="J15">
        <v>6</v>
      </c>
      <c r="K15" t="s">
        <v>28</v>
      </c>
      <c r="L15" t="s">
        <v>40</v>
      </c>
      <c r="M15" t="s">
        <v>49</v>
      </c>
      <c r="N15">
        <v>19</v>
      </c>
      <c r="O15" t="str">
        <f t="shared" si="0"/>
        <v>Intermediate</v>
      </c>
      <c r="P15" t="str">
        <f>IF(ADR_Data[[#This Row],[Age]]&lt;18,"&lt;18",IF(ADR_Data[[#This Row],[Age]]&lt;=40,"18-40",IF(ADR_Data[[#This Row],[Age]]&lt;=60,"41-60","&gt;60")))</f>
        <v>18-40</v>
      </c>
    </row>
    <row r="16" spans="1:16" x14ac:dyDescent="0.35">
      <c r="A16" t="s">
        <v>65</v>
      </c>
      <c r="B16">
        <v>70</v>
      </c>
      <c r="C16" t="s">
        <v>15</v>
      </c>
      <c r="D16" t="s">
        <v>32</v>
      </c>
      <c r="E16" t="s">
        <v>33</v>
      </c>
      <c r="F16" t="s">
        <v>66</v>
      </c>
      <c r="G16" t="s">
        <v>27</v>
      </c>
      <c r="H16" s="1">
        <v>46130</v>
      </c>
      <c r="I16" s="1">
        <v>46160</v>
      </c>
      <c r="J16">
        <v>11</v>
      </c>
      <c r="K16" t="s">
        <v>28</v>
      </c>
      <c r="L16" t="s">
        <v>21</v>
      </c>
      <c r="M16" t="s">
        <v>49</v>
      </c>
      <c r="N16">
        <v>30</v>
      </c>
      <c r="O16" t="str">
        <f t="shared" si="0"/>
        <v>Intermediate</v>
      </c>
      <c r="P16" t="str">
        <f>IF(ADR_Data[[#This Row],[Age]]&lt;18,"&lt;18",IF(ADR_Data[[#This Row],[Age]]&lt;=40,"18-40",IF(ADR_Data[[#This Row],[Age]]&lt;=60,"41-60","&gt;60")))</f>
        <v>&gt;60</v>
      </c>
    </row>
    <row r="17" spans="1:16" x14ac:dyDescent="0.35">
      <c r="A17" t="s">
        <v>67</v>
      </c>
      <c r="B17">
        <v>79</v>
      </c>
      <c r="C17" t="s">
        <v>31</v>
      </c>
      <c r="D17" t="s">
        <v>42</v>
      </c>
      <c r="E17" t="s">
        <v>68</v>
      </c>
      <c r="F17" t="s">
        <v>43</v>
      </c>
      <c r="G17" t="s">
        <v>19</v>
      </c>
      <c r="H17" s="1">
        <v>46049</v>
      </c>
      <c r="I17" s="1">
        <v>46058</v>
      </c>
      <c r="J17">
        <v>3</v>
      </c>
      <c r="K17" t="s">
        <v>20</v>
      </c>
      <c r="L17" t="s">
        <v>21</v>
      </c>
      <c r="M17" t="s">
        <v>22</v>
      </c>
      <c r="N17">
        <v>9</v>
      </c>
      <c r="O17" t="str">
        <f t="shared" si="0"/>
        <v>Intermediate</v>
      </c>
      <c r="P17" t="str">
        <f>IF(ADR_Data[[#This Row],[Age]]&lt;18,"&lt;18",IF(ADR_Data[[#This Row],[Age]]&lt;=40,"18-40",IF(ADR_Data[[#This Row],[Age]]&lt;=60,"41-60","&gt;60")))</f>
        <v>&gt;60</v>
      </c>
    </row>
    <row r="18" spans="1:16" x14ac:dyDescent="0.35">
      <c r="A18" t="s">
        <v>69</v>
      </c>
      <c r="B18">
        <v>79</v>
      </c>
      <c r="C18" t="s">
        <v>31</v>
      </c>
      <c r="D18" t="s">
        <v>42</v>
      </c>
      <c r="E18" t="s">
        <v>68</v>
      </c>
      <c r="F18" t="s">
        <v>43</v>
      </c>
      <c r="G18" t="s">
        <v>19</v>
      </c>
      <c r="H18" s="1">
        <v>46081</v>
      </c>
      <c r="I18" s="1">
        <v>46101</v>
      </c>
      <c r="J18">
        <v>1</v>
      </c>
      <c r="K18" t="s">
        <v>28</v>
      </c>
      <c r="L18" t="s">
        <v>40</v>
      </c>
      <c r="M18" t="s">
        <v>57</v>
      </c>
      <c r="N18">
        <v>20</v>
      </c>
      <c r="O18" t="str">
        <f t="shared" si="0"/>
        <v>Intermediate</v>
      </c>
      <c r="P18" t="str">
        <f>IF(ADR_Data[[#This Row],[Age]]&lt;18,"&lt;18",IF(ADR_Data[[#This Row],[Age]]&lt;=40,"18-40",IF(ADR_Data[[#This Row],[Age]]&lt;=60,"41-60","&gt;60")))</f>
        <v>&gt;60</v>
      </c>
    </row>
    <row r="19" spans="1:16" x14ac:dyDescent="0.35">
      <c r="A19" t="s">
        <v>70</v>
      </c>
      <c r="B19">
        <v>79</v>
      </c>
      <c r="C19" t="s">
        <v>31</v>
      </c>
      <c r="D19" t="s">
        <v>71</v>
      </c>
      <c r="E19" t="s">
        <v>72</v>
      </c>
      <c r="F19" t="s">
        <v>73</v>
      </c>
      <c r="G19" t="s">
        <v>27</v>
      </c>
      <c r="H19" s="1">
        <v>46135</v>
      </c>
      <c r="I19" s="1">
        <v>46162</v>
      </c>
      <c r="J19">
        <v>1</v>
      </c>
      <c r="K19" t="s">
        <v>28</v>
      </c>
      <c r="L19" t="s">
        <v>40</v>
      </c>
      <c r="M19" t="s">
        <v>29</v>
      </c>
      <c r="N19">
        <v>27</v>
      </c>
      <c r="O19" t="str">
        <f t="shared" si="0"/>
        <v>Intermediate</v>
      </c>
      <c r="P19" t="str">
        <f>IF(ADR_Data[[#This Row],[Age]]&lt;18,"&lt;18",IF(ADR_Data[[#This Row],[Age]]&lt;=40,"18-40",IF(ADR_Data[[#This Row],[Age]]&lt;=60,"41-60","&gt;60")))</f>
        <v>&gt;60</v>
      </c>
    </row>
    <row r="20" spans="1:16" x14ac:dyDescent="0.35">
      <c r="A20" t="s">
        <v>74</v>
      </c>
      <c r="B20">
        <v>54</v>
      </c>
      <c r="C20" t="s">
        <v>15</v>
      </c>
      <c r="D20" t="s">
        <v>42</v>
      </c>
      <c r="E20" t="s">
        <v>68</v>
      </c>
      <c r="F20" t="s">
        <v>43</v>
      </c>
      <c r="G20" t="s">
        <v>44</v>
      </c>
      <c r="H20" s="1">
        <v>46169</v>
      </c>
      <c r="I20" s="1">
        <v>46181</v>
      </c>
      <c r="J20">
        <v>10</v>
      </c>
      <c r="K20" t="s">
        <v>28</v>
      </c>
      <c r="L20" t="s">
        <v>21</v>
      </c>
      <c r="M20" t="s">
        <v>57</v>
      </c>
      <c r="N20">
        <v>12</v>
      </c>
      <c r="O20" t="str">
        <f t="shared" si="0"/>
        <v>Intermediate</v>
      </c>
      <c r="P20" t="str">
        <f>IF(ADR_Data[[#This Row],[Age]]&lt;18,"&lt;18",IF(ADR_Data[[#This Row],[Age]]&lt;=40,"18-40",IF(ADR_Data[[#This Row],[Age]]&lt;=60,"41-60","&gt;60")))</f>
        <v>41-60</v>
      </c>
    </row>
    <row r="21" spans="1:16" x14ac:dyDescent="0.35">
      <c r="A21" t="s">
        <v>75</v>
      </c>
      <c r="B21">
        <v>28</v>
      </c>
      <c r="C21" t="s">
        <v>15</v>
      </c>
      <c r="D21" t="s">
        <v>76</v>
      </c>
      <c r="E21" t="s">
        <v>38</v>
      </c>
      <c r="F21" t="s">
        <v>39</v>
      </c>
      <c r="G21" t="s">
        <v>27</v>
      </c>
      <c r="H21" s="1">
        <v>46060</v>
      </c>
      <c r="I21" s="1">
        <v>46066</v>
      </c>
      <c r="J21">
        <v>6</v>
      </c>
      <c r="K21" t="s">
        <v>35</v>
      </c>
      <c r="L21" t="s">
        <v>40</v>
      </c>
      <c r="M21" t="s">
        <v>57</v>
      </c>
      <c r="N21">
        <v>6</v>
      </c>
      <c r="O21" t="str">
        <f t="shared" si="0"/>
        <v>Early</v>
      </c>
      <c r="P21" t="str">
        <f>IF(ADR_Data[[#This Row],[Age]]&lt;18,"&lt;18",IF(ADR_Data[[#This Row],[Age]]&lt;=40,"18-40",IF(ADR_Data[[#This Row],[Age]]&lt;=60,"41-60","&gt;60")))</f>
        <v>18-40</v>
      </c>
    </row>
    <row r="22" spans="1:16" x14ac:dyDescent="0.35">
      <c r="A22" t="s">
        <v>77</v>
      </c>
      <c r="B22">
        <v>26</v>
      </c>
      <c r="C22" t="s">
        <v>15</v>
      </c>
      <c r="D22" t="s">
        <v>76</v>
      </c>
      <c r="E22" t="s">
        <v>78</v>
      </c>
      <c r="F22" t="s">
        <v>79</v>
      </c>
      <c r="G22" t="s">
        <v>19</v>
      </c>
      <c r="H22" s="1">
        <v>46115</v>
      </c>
      <c r="I22" s="1">
        <v>46119</v>
      </c>
      <c r="J22">
        <v>3</v>
      </c>
      <c r="K22" t="s">
        <v>28</v>
      </c>
      <c r="L22" t="s">
        <v>40</v>
      </c>
      <c r="M22" t="s">
        <v>49</v>
      </c>
      <c r="N22">
        <v>4</v>
      </c>
      <c r="O22" t="str">
        <f t="shared" si="0"/>
        <v>Early</v>
      </c>
      <c r="P22" t="str">
        <f>IF(ADR_Data[[#This Row],[Age]]&lt;18,"&lt;18",IF(ADR_Data[[#This Row],[Age]]&lt;=40,"18-40",IF(ADR_Data[[#This Row],[Age]]&lt;=60,"41-60","&gt;60")))</f>
        <v>18-40</v>
      </c>
    </row>
    <row r="23" spans="1:16" x14ac:dyDescent="0.35">
      <c r="A23" t="s">
        <v>80</v>
      </c>
      <c r="B23">
        <v>49</v>
      </c>
      <c r="C23" t="s">
        <v>31</v>
      </c>
      <c r="D23" t="s">
        <v>32</v>
      </c>
      <c r="E23" t="s">
        <v>51</v>
      </c>
      <c r="F23" t="s">
        <v>34</v>
      </c>
      <c r="G23" t="s">
        <v>19</v>
      </c>
      <c r="H23" s="1">
        <v>46150</v>
      </c>
      <c r="I23" s="1">
        <v>46161</v>
      </c>
      <c r="J23">
        <v>12</v>
      </c>
      <c r="K23" t="s">
        <v>28</v>
      </c>
      <c r="L23" t="s">
        <v>21</v>
      </c>
      <c r="M23" t="s">
        <v>57</v>
      </c>
      <c r="N23">
        <v>11</v>
      </c>
      <c r="O23" t="str">
        <f t="shared" si="0"/>
        <v>Intermediate</v>
      </c>
      <c r="P23" t="str">
        <f>IF(ADR_Data[[#This Row],[Age]]&lt;18,"&lt;18",IF(ADR_Data[[#This Row],[Age]]&lt;=40,"18-40",IF(ADR_Data[[#This Row],[Age]]&lt;=60,"41-60","&gt;60")))</f>
        <v>41-60</v>
      </c>
    </row>
    <row r="24" spans="1:16" x14ac:dyDescent="0.35">
      <c r="A24" t="s">
        <v>81</v>
      </c>
      <c r="B24">
        <v>47</v>
      </c>
      <c r="C24" t="s">
        <v>15</v>
      </c>
      <c r="D24" t="s">
        <v>76</v>
      </c>
      <c r="E24" t="s">
        <v>38</v>
      </c>
      <c r="F24" t="s">
        <v>66</v>
      </c>
      <c r="G24" t="s">
        <v>19</v>
      </c>
      <c r="H24" s="1">
        <v>46166</v>
      </c>
      <c r="I24" s="1">
        <v>46186</v>
      </c>
      <c r="J24">
        <v>12</v>
      </c>
      <c r="K24" t="s">
        <v>28</v>
      </c>
      <c r="L24" t="s">
        <v>21</v>
      </c>
      <c r="M24" t="s">
        <v>29</v>
      </c>
      <c r="N24">
        <v>20</v>
      </c>
      <c r="O24" t="str">
        <f t="shared" si="0"/>
        <v>Intermediate</v>
      </c>
      <c r="P24" t="str">
        <f>IF(ADR_Data[[#This Row],[Age]]&lt;18,"&lt;18",IF(ADR_Data[[#This Row],[Age]]&lt;=40,"18-40",IF(ADR_Data[[#This Row],[Age]]&lt;=60,"41-60","&gt;60")))</f>
        <v>41-60</v>
      </c>
    </row>
    <row r="25" spans="1:16" x14ac:dyDescent="0.35">
      <c r="A25" t="s">
        <v>82</v>
      </c>
      <c r="B25">
        <v>29</v>
      </c>
      <c r="C25" t="s">
        <v>31</v>
      </c>
      <c r="D25" t="s">
        <v>16</v>
      </c>
      <c r="E25" t="s">
        <v>46</v>
      </c>
      <c r="F25" t="s">
        <v>54</v>
      </c>
      <c r="G25" t="s">
        <v>27</v>
      </c>
      <c r="H25" s="1">
        <v>46031</v>
      </c>
      <c r="I25" s="1">
        <v>46047</v>
      </c>
      <c r="J25">
        <v>3</v>
      </c>
      <c r="K25" t="s">
        <v>28</v>
      </c>
      <c r="L25" t="s">
        <v>40</v>
      </c>
      <c r="M25" t="s">
        <v>52</v>
      </c>
      <c r="N25">
        <v>16</v>
      </c>
      <c r="O25" t="str">
        <f t="shared" si="0"/>
        <v>Intermediate</v>
      </c>
      <c r="P25" t="str">
        <f>IF(ADR_Data[[#This Row],[Age]]&lt;18,"&lt;18",IF(ADR_Data[[#This Row],[Age]]&lt;=40,"18-40",IF(ADR_Data[[#This Row],[Age]]&lt;=60,"41-60","&gt;60")))</f>
        <v>18-40</v>
      </c>
    </row>
    <row r="26" spans="1:16" x14ac:dyDescent="0.35">
      <c r="A26" t="s">
        <v>83</v>
      </c>
      <c r="B26">
        <v>28</v>
      </c>
      <c r="C26" t="s">
        <v>31</v>
      </c>
      <c r="D26" t="s">
        <v>24</v>
      </c>
      <c r="E26" t="s">
        <v>25</v>
      </c>
      <c r="F26" t="s">
        <v>18</v>
      </c>
      <c r="G26" t="s">
        <v>19</v>
      </c>
      <c r="H26" s="1">
        <v>46126</v>
      </c>
      <c r="I26" s="1">
        <v>46142</v>
      </c>
      <c r="J26">
        <v>14</v>
      </c>
      <c r="K26" t="s">
        <v>28</v>
      </c>
      <c r="L26" t="s">
        <v>40</v>
      </c>
      <c r="M26" t="s">
        <v>29</v>
      </c>
      <c r="N26">
        <v>16</v>
      </c>
      <c r="O26" t="str">
        <f t="shared" si="0"/>
        <v>Intermediate</v>
      </c>
      <c r="P26" t="str">
        <f>IF(ADR_Data[[#This Row],[Age]]&lt;18,"&lt;18",IF(ADR_Data[[#This Row],[Age]]&lt;=40,"18-40",IF(ADR_Data[[#This Row],[Age]]&lt;=60,"41-60","&gt;60")))</f>
        <v>18-40</v>
      </c>
    </row>
    <row r="27" spans="1:16" x14ac:dyDescent="0.35">
      <c r="A27" t="s">
        <v>84</v>
      </c>
      <c r="B27">
        <v>63</v>
      </c>
      <c r="C27" t="s">
        <v>15</v>
      </c>
      <c r="D27" t="s">
        <v>71</v>
      </c>
      <c r="E27" t="s">
        <v>38</v>
      </c>
      <c r="F27" t="s">
        <v>73</v>
      </c>
      <c r="G27" t="s">
        <v>27</v>
      </c>
      <c r="H27" s="1">
        <v>46090</v>
      </c>
      <c r="I27" s="1">
        <v>46106</v>
      </c>
      <c r="J27">
        <v>4</v>
      </c>
      <c r="K27" t="s">
        <v>35</v>
      </c>
      <c r="L27" t="s">
        <v>40</v>
      </c>
      <c r="M27" t="s">
        <v>49</v>
      </c>
      <c r="N27">
        <v>16</v>
      </c>
      <c r="O27" t="str">
        <f t="shared" si="0"/>
        <v>Intermediate</v>
      </c>
      <c r="P27" t="str">
        <f>IF(ADR_Data[[#This Row],[Age]]&lt;18,"&lt;18",IF(ADR_Data[[#This Row],[Age]]&lt;=40,"18-40",IF(ADR_Data[[#This Row],[Age]]&lt;=60,"41-60","&gt;60")))</f>
        <v>&gt;60</v>
      </c>
    </row>
    <row r="28" spans="1:16" x14ac:dyDescent="0.35">
      <c r="A28" t="s">
        <v>85</v>
      </c>
      <c r="B28">
        <v>65</v>
      </c>
      <c r="C28" t="s">
        <v>15</v>
      </c>
      <c r="D28" t="s">
        <v>76</v>
      </c>
      <c r="E28" t="s">
        <v>38</v>
      </c>
      <c r="F28" t="s">
        <v>39</v>
      </c>
      <c r="G28" t="s">
        <v>27</v>
      </c>
      <c r="H28" s="1">
        <v>46141</v>
      </c>
      <c r="I28" s="1">
        <v>46147</v>
      </c>
      <c r="J28">
        <v>6</v>
      </c>
      <c r="K28" t="s">
        <v>28</v>
      </c>
      <c r="L28" t="s">
        <v>40</v>
      </c>
      <c r="M28" t="s">
        <v>57</v>
      </c>
      <c r="N28">
        <v>6</v>
      </c>
      <c r="O28" t="str">
        <f t="shared" si="0"/>
        <v>Early</v>
      </c>
      <c r="P28" t="str">
        <f>IF(ADR_Data[[#This Row],[Age]]&lt;18,"&lt;18",IF(ADR_Data[[#This Row],[Age]]&lt;=40,"18-40",IF(ADR_Data[[#This Row],[Age]]&lt;=60,"41-60","&gt;60")))</f>
        <v>&gt;60</v>
      </c>
    </row>
    <row r="29" spans="1:16" x14ac:dyDescent="0.35">
      <c r="A29" t="s">
        <v>86</v>
      </c>
      <c r="B29">
        <v>44</v>
      </c>
      <c r="C29" t="s">
        <v>15</v>
      </c>
      <c r="D29" t="s">
        <v>16</v>
      </c>
      <c r="E29" t="s">
        <v>46</v>
      </c>
      <c r="F29" t="s">
        <v>18</v>
      </c>
      <c r="G29" t="s">
        <v>19</v>
      </c>
      <c r="H29" s="1">
        <v>46119</v>
      </c>
      <c r="I29" s="1">
        <v>46124</v>
      </c>
      <c r="J29">
        <v>12</v>
      </c>
      <c r="K29" t="s">
        <v>28</v>
      </c>
      <c r="L29" t="s">
        <v>40</v>
      </c>
      <c r="M29" t="s">
        <v>52</v>
      </c>
      <c r="N29">
        <v>5</v>
      </c>
      <c r="O29" t="str">
        <f t="shared" si="0"/>
        <v>Early</v>
      </c>
      <c r="P29" t="str">
        <f>IF(ADR_Data[[#This Row],[Age]]&lt;18,"&lt;18",IF(ADR_Data[[#This Row],[Age]]&lt;=40,"18-40",IF(ADR_Data[[#This Row],[Age]]&lt;=60,"41-60","&gt;60")))</f>
        <v>41-60</v>
      </c>
    </row>
    <row r="30" spans="1:16" x14ac:dyDescent="0.35">
      <c r="A30" t="s">
        <v>87</v>
      </c>
      <c r="B30">
        <v>66</v>
      </c>
      <c r="C30" t="s">
        <v>15</v>
      </c>
      <c r="D30" t="s">
        <v>42</v>
      </c>
      <c r="E30" t="s">
        <v>17</v>
      </c>
      <c r="F30" t="s">
        <v>18</v>
      </c>
      <c r="G30" t="s">
        <v>44</v>
      </c>
      <c r="H30" s="1">
        <v>46068</v>
      </c>
      <c r="I30" s="1">
        <v>46096</v>
      </c>
      <c r="J30">
        <v>9</v>
      </c>
      <c r="K30" t="s">
        <v>20</v>
      </c>
      <c r="L30" t="s">
        <v>40</v>
      </c>
      <c r="M30" t="s">
        <v>22</v>
      </c>
      <c r="N30">
        <v>28</v>
      </c>
      <c r="O30" t="str">
        <f t="shared" si="0"/>
        <v>Intermediate</v>
      </c>
      <c r="P30" t="str">
        <f>IF(ADR_Data[[#This Row],[Age]]&lt;18,"&lt;18",IF(ADR_Data[[#This Row],[Age]]&lt;=40,"18-40",IF(ADR_Data[[#This Row],[Age]]&lt;=60,"41-60","&gt;60")))</f>
        <v>&gt;60</v>
      </c>
    </row>
    <row r="31" spans="1:16" x14ac:dyDescent="0.35">
      <c r="A31" t="s">
        <v>88</v>
      </c>
      <c r="B31">
        <v>70</v>
      </c>
      <c r="C31" t="s">
        <v>31</v>
      </c>
      <c r="D31" t="s">
        <v>76</v>
      </c>
      <c r="E31" t="s">
        <v>78</v>
      </c>
      <c r="F31" t="s">
        <v>66</v>
      </c>
      <c r="G31" t="s">
        <v>27</v>
      </c>
      <c r="H31" s="1">
        <v>46138</v>
      </c>
      <c r="I31" s="1">
        <v>46161</v>
      </c>
      <c r="J31">
        <v>1</v>
      </c>
      <c r="K31" t="s">
        <v>35</v>
      </c>
      <c r="L31" t="s">
        <v>21</v>
      </c>
      <c r="M31" t="s">
        <v>22</v>
      </c>
      <c r="N31">
        <v>23</v>
      </c>
      <c r="O31" t="str">
        <f t="shared" si="0"/>
        <v>Intermediate</v>
      </c>
      <c r="P31" t="str">
        <f>IF(ADR_Data[[#This Row],[Age]]&lt;18,"&lt;18",IF(ADR_Data[[#This Row],[Age]]&lt;=40,"18-40",IF(ADR_Data[[#This Row],[Age]]&lt;=60,"41-60","&gt;60")))</f>
        <v>&gt;60</v>
      </c>
    </row>
    <row r="32" spans="1:16" x14ac:dyDescent="0.35">
      <c r="A32" t="s">
        <v>89</v>
      </c>
      <c r="B32">
        <v>48</v>
      </c>
      <c r="C32" t="s">
        <v>15</v>
      </c>
      <c r="D32" t="s">
        <v>71</v>
      </c>
      <c r="E32" t="s">
        <v>72</v>
      </c>
      <c r="F32" t="s">
        <v>39</v>
      </c>
      <c r="G32" t="s">
        <v>27</v>
      </c>
      <c r="H32" s="1">
        <v>46126</v>
      </c>
      <c r="I32" s="1">
        <v>46141</v>
      </c>
      <c r="J32">
        <v>6</v>
      </c>
      <c r="K32" t="s">
        <v>35</v>
      </c>
      <c r="L32" t="s">
        <v>21</v>
      </c>
      <c r="M32" t="s">
        <v>22</v>
      </c>
      <c r="N32">
        <v>15</v>
      </c>
      <c r="O32" t="str">
        <f t="shared" si="0"/>
        <v>Intermediate</v>
      </c>
      <c r="P32" t="str">
        <f>IF(ADR_Data[[#This Row],[Age]]&lt;18,"&lt;18",IF(ADR_Data[[#This Row],[Age]]&lt;=40,"18-40",IF(ADR_Data[[#This Row],[Age]]&lt;=60,"41-60","&gt;60")))</f>
        <v>41-60</v>
      </c>
    </row>
    <row r="33" spans="1:16" x14ac:dyDescent="0.35">
      <c r="A33" t="s">
        <v>90</v>
      </c>
      <c r="B33">
        <v>19</v>
      </c>
      <c r="C33" t="s">
        <v>15</v>
      </c>
      <c r="D33" t="s">
        <v>42</v>
      </c>
      <c r="E33" t="s">
        <v>17</v>
      </c>
      <c r="F33" t="s">
        <v>18</v>
      </c>
      <c r="G33" t="s">
        <v>44</v>
      </c>
      <c r="H33" s="1">
        <v>46159</v>
      </c>
      <c r="I33" s="1">
        <v>46188</v>
      </c>
      <c r="J33">
        <v>10</v>
      </c>
      <c r="K33" t="s">
        <v>91</v>
      </c>
      <c r="L33" t="s">
        <v>40</v>
      </c>
      <c r="M33" t="s">
        <v>49</v>
      </c>
      <c r="N33">
        <v>29</v>
      </c>
      <c r="O33" t="str">
        <f t="shared" si="0"/>
        <v>Intermediate</v>
      </c>
      <c r="P33" t="str">
        <f>IF(ADR_Data[[#This Row],[Age]]&lt;18,"&lt;18",IF(ADR_Data[[#This Row],[Age]]&lt;=40,"18-40",IF(ADR_Data[[#This Row],[Age]]&lt;=60,"41-60","&gt;60")))</f>
        <v>18-40</v>
      </c>
    </row>
    <row r="34" spans="1:16" x14ac:dyDescent="0.35">
      <c r="A34" t="s">
        <v>92</v>
      </c>
      <c r="B34">
        <v>41</v>
      </c>
      <c r="C34" t="s">
        <v>31</v>
      </c>
      <c r="D34" t="s">
        <v>32</v>
      </c>
      <c r="E34" t="s">
        <v>33</v>
      </c>
      <c r="F34" t="s">
        <v>34</v>
      </c>
      <c r="G34" t="s">
        <v>19</v>
      </c>
      <c r="H34" s="1">
        <v>46157</v>
      </c>
      <c r="I34" s="1">
        <v>46177</v>
      </c>
      <c r="J34">
        <v>1</v>
      </c>
      <c r="K34" t="s">
        <v>28</v>
      </c>
      <c r="L34" t="s">
        <v>40</v>
      </c>
      <c r="M34" t="s">
        <v>57</v>
      </c>
      <c r="N34">
        <v>20</v>
      </c>
      <c r="O34" t="str">
        <f t="shared" ref="O34:O65" si="1">IF(N34&lt;=7,"Early",IF(N34&lt;=30,"Intermediate","Late"))</f>
        <v>Intermediate</v>
      </c>
      <c r="P34" t="str">
        <f>IF(ADR_Data[[#This Row],[Age]]&lt;18,"&lt;18",IF(ADR_Data[[#This Row],[Age]]&lt;=40,"18-40",IF(ADR_Data[[#This Row],[Age]]&lt;=60,"41-60","&gt;60")))</f>
        <v>41-60</v>
      </c>
    </row>
    <row r="35" spans="1:16" x14ac:dyDescent="0.35">
      <c r="A35" t="s">
        <v>93</v>
      </c>
      <c r="B35">
        <v>40</v>
      </c>
      <c r="C35" t="s">
        <v>31</v>
      </c>
      <c r="D35" t="s">
        <v>32</v>
      </c>
      <c r="E35" t="s">
        <v>33</v>
      </c>
      <c r="F35" t="s">
        <v>18</v>
      </c>
      <c r="G35" t="s">
        <v>27</v>
      </c>
      <c r="H35" s="1">
        <v>46088</v>
      </c>
      <c r="I35" s="1">
        <v>46110</v>
      </c>
      <c r="J35">
        <v>3</v>
      </c>
      <c r="K35" t="s">
        <v>28</v>
      </c>
      <c r="L35" t="s">
        <v>21</v>
      </c>
      <c r="M35" t="s">
        <v>57</v>
      </c>
      <c r="N35">
        <v>22</v>
      </c>
      <c r="O35" t="str">
        <f t="shared" si="1"/>
        <v>Intermediate</v>
      </c>
      <c r="P35" t="str">
        <f>IF(ADR_Data[[#This Row],[Age]]&lt;18,"&lt;18",IF(ADR_Data[[#This Row],[Age]]&lt;=40,"18-40",IF(ADR_Data[[#This Row],[Age]]&lt;=60,"41-60","&gt;60")))</f>
        <v>18-40</v>
      </c>
    </row>
    <row r="36" spans="1:16" x14ac:dyDescent="0.35">
      <c r="A36" t="s">
        <v>94</v>
      </c>
      <c r="B36">
        <v>39</v>
      </c>
      <c r="C36" t="s">
        <v>15</v>
      </c>
      <c r="D36" t="s">
        <v>71</v>
      </c>
      <c r="E36" t="s">
        <v>38</v>
      </c>
      <c r="F36" t="s">
        <v>39</v>
      </c>
      <c r="G36" t="s">
        <v>27</v>
      </c>
      <c r="H36" s="1">
        <v>46071</v>
      </c>
      <c r="I36" s="1">
        <v>46086</v>
      </c>
      <c r="J36">
        <v>6</v>
      </c>
      <c r="K36" t="s">
        <v>35</v>
      </c>
      <c r="L36" t="s">
        <v>21</v>
      </c>
      <c r="M36" t="s">
        <v>22</v>
      </c>
      <c r="N36">
        <v>15</v>
      </c>
      <c r="O36" t="str">
        <f t="shared" si="1"/>
        <v>Intermediate</v>
      </c>
      <c r="P36" t="str">
        <f>IF(ADR_Data[[#This Row],[Age]]&lt;18,"&lt;18",IF(ADR_Data[[#This Row],[Age]]&lt;=40,"18-40",IF(ADR_Data[[#This Row],[Age]]&lt;=60,"41-60","&gt;60")))</f>
        <v>18-40</v>
      </c>
    </row>
    <row r="37" spans="1:16" x14ac:dyDescent="0.35">
      <c r="A37" t="s">
        <v>95</v>
      </c>
      <c r="B37">
        <v>70</v>
      </c>
      <c r="C37" t="s">
        <v>15</v>
      </c>
      <c r="D37" t="s">
        <v>32</v>
      </c>
      <c r="E37" t="s">
        <v>33</v>
      </c>
      <c r="F37" t="s">
        <v>66</v>
      </c>
      <c r="G37" t="s">
        <v>19</v>
      </c>
      <c r="H37" s="1">
        <v>46027</v>
      </c>
      <c r="I37" s="1">
        <v>46040</v>
      </c>
      <c r="J37">
        <v>4</v>
      </c>
      <c r="K37" t="s">
        <v>28</v>
      </c>
      <c r="L37" t="s">
        <v>40</v>
      </c>
      <c r="M37" t="s">
        <v>52</v>
      </c>
      <c r="N37">
        <v>13</v>
      </c>
      <c r="O37" t="str">
        <f t="shared" si="1"/>
        <v>Intermediate</v>
      </c>
      <c r="P37" t="str">
        <f>IF(ADR_Data[[#This Row],[Age]]&lt;18,"&lt;18",IF(ADR_Data[[#This Row],[Age]]&lt;=40,"18-40",IF(ADR_Data[[#This Row],[Age]]&lt;=60,"41-60","&gt;60")))</f>
        <v>&gt;60</v>
      </c>
    </row>
    <row r="38" spans="1:16" x14ac:dyDescent="0.35">
      <c r="A38" t="s">
        <v>96</v>
      </c>
      <c r="B38">
        <v>69</v>
      </c>
      <c r="C38" t="s">
        <v>15</v>
      </c>
      <c r="D38" t="s">
        <v>16</v>
      </c>
      <c r="E38" t="s">
        <v>46</v>
      </c>
      <c r="F38" t="s">
        <v>54</v>
      </c>
      <c r="G38" t="s">
        <v>19</v>
      </c>
      <c r="H38" s="1">
        <v>46146</v>
      </c>
      <c r="I38" s="1">
        <v>46163</v>
      </c>
      <c r="J38">
        <v>8</v>
      </c>
      <c r="K38" t="s">
        <v>20</v>
      </c>
      <c r="L38" t="s">
        <v>40</v>
      </c>
      <c r="M38" t="s">
        <v>57</v>
      </c>
      <c r="N38">
        <v>17</v>
      </c>
      <c r="O38" t="str">
        <f t="shared" si="1"/>
        <v>Intermediate</v>
      </c>
      <c r="P38" t="str">
        <f>IF(ADR_Data[[#This Row],[Age]]&lt;18,"&lt;18",IF(ADR_Data[[#This Row],[Age]]&lt;=40,"18-40",IF(ADR_Data[[#This Row],[Age]]&lt;=60,"41-60","&gt;60")))</f>
        <v>&gt;60</v>
      </c>
    </row>
    <row r="39" spans="1:16" x14ac:dyDescent="0.35">
      <c r="A39" t="s">
        <v>97</v>
      </c>
      <c r="B39">
        <v>43</v>
      </c>
      <c r="C39" t="s">
        <v>31</v>
      </c>
      <c r="D39" t="s">
        <v>71</v>
      </c>
      <c r="E39" t="s">
        <v>72</v>
      </c>
      <c r="F39" t="s">
        <v>73</v>
      </c>
      <c r="G39" t="s">
        <v>19</v>
      </c>
      <c r="H39" s="1">
        <v>46084</v>
      </c>
      <c r="I39" s="1">
        <v>46096</v>
      </c>
      <c r="J39">
        <v>5</v>
      </c>
      <c r="K39" t="s">
        <v>28</v>
      </c>
      <c r="L39" t="s">
        <v>21</v>
      </c>
      <c r="M39" t="s">
        <v>29</v>
      </c>
      <c r="N39">
        <v>12</v>
      </c>
      <c r="O39" t="str">
        <f t="shared" si="1"/>
        <v>Intermediate</v>
      </c>
      <c r="P39" t="str">
        <f>IF(ADR_Data[[#This Row],[Age]]&lt;18,"&lt;18",IF(ADR_Data[[#This Row],[Age]]&lt;=40,"18-40",IF(ADR_Data[[#This Row],[Age]]&lt;=60,"41-60","&gt;60")))</f>
        <v>41-60</v>
      </c>
    </row>
    <row r="40" spans="1:16" x14ac:dyDescent="0.35">
      <c r="A40" t="s">
        <v>98</v>
      </c>
      <c r="B40">
        <v>51</v>
      </c>
      <c r="C40" t="s">
        <v>15</v>
      </c>
      <c r="D40" t="s">
        <v>60</v>
      </c>
      <c r="E40" t="s">
        <v>99</v>
      </c>
      <c r="F40" t="s">
        <v>100</v>
      </c>
      <c r="G40" t="s">
        <v>27</v>
      </c>
      <c r="H40" s="1">
        <v>46070</v>
      </c>
      <c r="I40" s="1">
        <v>46091</v>
      </c>
      <c r="J40">
        <v>1</v>
      </c>
      <c r="K40" t="s">
        <v>28</v>
      </c>
      <c r="L40" t="s">
        <v>40</v>
      </c>
      <c r="M40" t="s">
        <v>22</v>
      </c>
      <c r="N40">
        <v>21</v>
      </c>
      <c r="O40" t="str">
        <f t="shared" si="1"/>
        <v>Intermediate</v>
      </c>
      <c r="P40" t="str">
        <f>IF(ADR_Data[[#This Row],[Age]]&lt;18,"&lt;18",IF(ADR_Data[[#This Row],[Age]]&lt;=40,"18-40",IF(ADR_Data[[#This Row],[Age]]&lt;=60,"41-60","&gt;60")))</f>
        <v>41-60</v>
      </c>
    </row>
    <row r="41" spans="1:16" x14ac:dyDescent="0.35">
      <c r="A41" t="s">
        <v>101</v>
      </c>
      <c r="B41">
        <v>39</v>
      </c>
      <c r="C41" t="s">
        <v>31</v>
      </c>
      <c r="D41" t="s">
        <v>37</v>
      </c>
      <c r="E41" t="s">
        <v>72</v>
      </c>
      <c r="F41" t="s">
        <v>18</v>
      </c>
      <c r="G41" t="s">
        <v>19</v>
      </c>
      <c r="H41" s="1">
        <v>46098</v>
      </c>
      <c r="I41" s="1">
        <v>46103</v>
      </c>
      <c r="J41">
        <v>6</v>
      </c>
      <c r="K41" t="s">
        <v>28</v>
      </c>
      <c r="L41" t="s">
        <v>21</v>
      </c>
      <c r="M41" t="s">
        <v>29</v>
      </c>
      <c r="N41">
        <v>5</v>
      </c>
      <c r="O41" t="str">
        <f t="shared" si="1"/>
        <v>Early</v>
      </c>
      <c r="P41" t="str">
        <f>IF(ADR_Data[[#This Row],[Age]]&lt;18,"&lt;18",IF(ADR_Data[[#This Row],[Age]]&lt;=40,"18-40",IF(ADR_Data[[#This Row],[Age]]&lt;=60,"41-60","&gt;60")))</f>
        <v>18-40</v>
      </c>
    </row>
    <row r="42" spans="1:16" x14ac:dyDescent="0.35">
      <c r="A42" t="s">
        <v>102</v>
      </c>
      <c r="B42">
        <v>64</v>
      </c>
      <c r="C42" t="s">
        <v>31</v>
      </c>
      <c r="D42" t="s">
        <v>60</v>
      </c>
      <c r="E42" t="s">
        <v>99</v>
      </c>
      <c r="F42" t="s">
        <v>100</v>
      </c>
      <c r="G42" t="s">
        <v>27</v>
      </c>
      <c r="H42" s="1">
        <v>46166</v>
      </c>
      <c r="I42" s="1">
        <v>46173</v>
      </c>
      <c r="J42">
        <v>4</v>
      </c>
      <c r="K42" t="s">
        <v>28</v>
      </c>
      <c r="L42" t="s">
        <v>40</v>
      </c>
      <c r="M42" t="s">
        <v>52</v>
      </c>
      <c r="N42">
        <v>7</v>
      </c>
      <c r="O42" t="str">
        <f t="shared" si="1"/>
        <v>Early</v>
      </c>
      <c r="P42" t="str">
        <f>IF(ADR_Data[[#This Row],[Age]]&lt;18,"&lt;18",IF(ADR_Data[[#This Row],[Age]]&lt;=40,"18-40",IF(ADR_Data[[#This Row],[Age]]&lt;=60,"41-60","&gt;60")))</f>
        <v>&gt;60</v>
      </c>
    </row>
    <row r="43" spans="1:16" x14ac:dyDescent="0.35">
      <c r="A43" t="s">
        <v>103</v>
      </c>
      <c r="B43">
        <v>75</v>
      </c>
      <c r="C43" t="s">
        <v>15</v>
      </c>
      <c r="D43" t="s">
        <v>60</v>
      </c>
      <c r="E43" t="s">
        <v>61</v>
      </c>
      <c r="F43" t="s">
        <v>62</v>
      </c>
      <c r="G43" t="s">
        <v>27</v>
      </c>
      <c r="H43" s="1">
        <v>46122</v>
      </c>
      <c r="I43" s="1">
        <v>46132</v>
      </c>
      <c r="J43">
        <v>10</v>
      </c>
      <c r="K43" t="s">
        <v>35</v>
      </c>
      <c r="L43" t="s">
        <v>40</v>
      </c>
      <c r="M43" t="s">
        <v>57</v>
      </c>
      <c r="N43">
        <v>10</v>
      </c>
      <c r="O43" t="str">
        <f t="shared" si="1"/>
        <v>Intermediate</v>
      </c>
      <c r="P43" t="str">
        <f>IF(ADR_Data[[#This Row],[Age]]&lt;18,"&lt;18",IF(ADR_Data[[#This Row],[Age]]&lt;=40,"18-40",IF(ADR_Data[[#This Row],[Age]]&lt;=60,"41-60","&gt;60")))</f>
        <v>&gt;60</v>
      </c>
    </row>
    <row r="44" spans="1:16" x14ac:dyDescent="0.35">
      <c r="A44" t="s">
        <v>104</v>
      </c>
      <c r="B44">
        <v>22</v>
      </c>
      <c r="C44" t="s">
        <v>31</v>
      </c>
      <c r="D44" t="s">
        <v>32</v>
      </c>
      <c r="E44" t="s">
        <v>33</v>
      </c>
      <c r="F44" t="s">
        <v>66</v>
      </c>
      <c r="G44" t="s">
        <v>44</v>
      </c>
      <c r="H44" s="1">
        <v>46046</v>
      </c>
      <c r="I44" s="1">
        <v>46063</v>
      </c>
      <c r="J44">
        <v>12</v>
      </c>
      <c r="K44" t="s">
        <v>91</v>
      </c>
      <c r="L44" t="s">
        <v>40</v>
      </c>
      <c r="M44" t="s">
        <v>57</v>
      </c>
      <c r="N44">
        <v>17</v>
      </c>
      <c r="O44" t="str">
        <f t="shared" si="1"/>
        <v>Intermediate</v>
      </c>
      <c r="P44" t="str">
        <f>IF(ADR_Data[[#This Row],[Age]]&lt;18,"&lt;18",IF(ADR_Data[[#This Row],[Age]]&lt;=40,"18-40",IF(ADR_Data[[#This Row],[Age]]&lt;=60,"41-60","&gt;60")))</f>
        <v>18-40</v>
      </c>
    </row>
    <row r="45" spans="1:16" x14ac:dyDescent="0.35">
      <c r="A45" t="s">
        <v>105</v>
      </c>
      <c r="B45">
        <v>52</v>
      </c>
      <c r="C45" t="s">
        <v>15</v>
      </c>
      <c r="D45" t="s">
        <v>42</v>
      </c>
      <c r="E45" t="s">
        <v>68</v>
      </c>
      <c r="F45" t="s">
        <v>43</v>
      </c>
      <c r="G45" t="s">
        <v>44</v>
      </c>
      <c r="H45" s="1">
        <v>46123</v>
      </c>
      <c r="I45" s="1">
        <v>46124</v>
      </c>
      <c r="J45">
        <v>8</v>
      </c>
      <c r="K45" t="s">
        <v>28</v>
      </c>
      <c r="L45" t="s">
        <v>21</v>
      </c>
      <c r="M45" t="s">
        <v>49</v>
      </c>
      <c r="N45">
        <v>1</v>
      </c>
      <c r="O45" t="str">
        <f t="shared" si="1"/>
        <v>Early</v>
      </c>
      <c r="P45" t="str">
        <f>IF(ADR_Data[[#This Row],[Age]]&lt;18,"&lt;18",IF(ADR_Data[[#This Row],[Age]]&lt;=40,"18-40",IF(ADR_Data[[#This Row],[Age]]&lt;=60,"41-60","&gt;60")))</f>
        <v>41-60</v>
      </c>
    </row>
    <row r="46" spans="1:16" x14ac:dyDescent="0.35">
      <c r="A46" t="s">
        <v>106</v>
      </c>
      <c r="B46">
        <v>29</v>
      </c>
      <c r="C46" t="s">
        <v>31</v>
      </c>
      <c r="D46" t="s">
        <v>60</v>
      </c>
      <c r="E46" t="s">
        <v>99</v>
      </c>
      <c r="F46" t="s">
        <v>47</v>
      </c>
      <c r="G46" t="s">
        <v>27</v>
      </c>
      <c r="H46" s="1">
        <v>46057</v>
      </c>
      <c r="I46" s="1">
        <v>46065</v>
      </c>
      <c r="J46">
        <v>13</v>
      </c>
      <c r="K46" t="s">
        <v>28</v>
      </c>
      <c r="L46" t="s">
        <v>40</v>
      </c>
      <c r="M46" t="s">
        <v>49</v>
      </c>
      <c r="N46">
        <v>8</v>
      </c>
      <c r="O46" t="str">
        <f t="shared" si="1"/>
        <v>Intermediate</v>
      </c>
      <c r="P46" t="str">
        <f>IF(ADR_Data[[#This Row],[Age]]&lt;18,"&lt;18",IF(ADR_Data[[#This Row],[Age]]&lt;=40,"18-40",IF(ADR_Data[[#This Row],[Age]]&lt;=60,"41-60","&gt;60")))</f>
        <v>18-40</v>
      </c>
    </row>
    <row r="47" spans="1:16" x14ac:dyDescent="0.35">
      <c r="A47" t="s">
        <v>107</v>
      </c>
      <c r="B47">
        <v>68</v>
      </c>
      <c r="C47" t="s">
        <v>31</v>
      </c>
      <c r="D47" t="s">
        <v>37</v>
      </c>
      <c r="E47" t="s">
        <v>38</v>
      </c>
      <c r="F47" t="s">
        <v>39</v>
      </c>
      <c r="G47" t="s">
        <v>19</v>
      </c>
      <c r="H47" s="1">
        <v>46080</v>
      </c>
      <c r="I47" s="1">
        <v>46091</v>
      </c>
      <c r="J47">
        <v>13</v>
      </c>
      <c r="K47" t="s">
        <v>28</v>
      </c>
      <c r="L47" t="s">
        <v>40</v>
      </c>
      <c r="M47" t="s">
        <v>49</v>
      </c>
      <c r="N47">
        <v>11</v>
      </c>
      <c r="O47" t="str">
        <f t="shared" si="1"/>
        <v>Intermediate</v>
      </c>
      <c r="P47" t="str">
        <f>IF(ADR_Data[[#This Row],[Age]]&lt;18,"&lt;18",IF(ADR_Data[[#This Row],[Age]]&lt;=40,"18-40",IF(ADR_Data[[#This Row],[Age]]&lt;=60,"41-60","&gt;60")))</f>
        <v>&gt;60</v>
      </c>
    </row>
    <row r="48" spans="1:16" x14ac:dyDescent="0.35">
      <c r="A48" t="s">
        <v>108</v>
      </c>
      <c r="B48">
        <v>27</v>
      </c>
      <c r="C48" t="s">
        <v>31</v>
      </c>
      <c r="D48" t="s">
        <v>42</v>
      </c>
      <c r="E48" t="s">
        <v>17</v>
      </c>
      <c r="F48" t="s">
        <v>56</v>
      </c>
      <c r="G48" t="s">
        <v>19</v>
      </c>
      <c r="H48" s="1">
        <v>46121</v>
      </c>
      <c r="I48" s="1">
        <v>46138</v>
      </c>
      <c r="J48">
        <v>7</v>
      </c>
      <c r="K48" t="s">
        <v>20</v>
      </c>
      <c r="L48" t="s">
        <v>40</v>
      </c>
      <c r="M48" t="s">
        <v>57</v>
      </c>
      <c r="N48">
        <v>17</v>
      </c>
      <c r="O48" t="str">
        <f t="shared" si="1"/>
        <v>Intermediate</v>
      </c>
      <c r="P48" t="str">
        <f>IF(ADR_Data[[#This Row],[Age]]&lt;18,"&lt;18",IF(ADR_Data[[#This Row],[Age]]&lt;=40,"18-40",IF(ADR_Data[[#This Row],[Age]]&lt;=60,"41-60","&gt;60")))</f>
        <v>18-40</v>
      </c>
    </row>
    <row r="49" spans="1:16" x14ac:dyDescent="0.35">
      <c r="A49" t="s">
        <v>109</v>
      </c>
      <c r="B49">
        <v>66</v>
      </c>
      <c r="C49" t="s">
        <v>31</v>
      </c>
      <c r="D49" t="s">
        <v>16</v>
      </c>
      <c r="E49" t="s">
        <v>17</v>
      </c>
      <c r="F49" t="s">
        <v>18</v>
      </c>
      <c r="G49" t="s">
        <v>27</v>
      </c>
      <c r="H49" s="1">
        <v>46121</v>
      </c>
      <c r="I49" s="1">
        <v>46138</v>
      </c>
      <c r="J49">
        <v>14</v>
      </c>
      <c r="K49" t="s">
        <v>28</v>
      </c>
      <c r="L49" t="s">
        <v>21</v>
      </c>
      <c r="M49" t="s">
        <v>57</v>
      </c>
      <c r="N49">
        <v>17</v>
      </c>
      <c r="O49" t="str">
        <f t="shared" si="1"/>
        <v>Intermediate</v>
      </c>
      <c r="P49" t="str">
        <f>IF(ADR_Data[[#This Row],[Age]]&lt;18,"&lt;18",IF(ADR_Data[[#This Row],[Age]]&lt;=40,"18-40",IF(ADR_Data[[#This Row],[Age]]&lt;=60,"41-60","&gt;60")))</f>
        <v>&gt;60</v>
      </c>
    </row>
    <row r="50" spans="1:16" x14ac:dyDescent="0.35">
      <c r="A50" t="s">
        <v>110</v>
      </c>
      <c r="B50">
        <v>66</v>
      </c>
      <c r="C50" t="s">
        <v>15</v>
      </c>
      <c r="D50" t="s">
        <v>32</v>
      </c>
      <c r="E50" t="s">
        <v>51</v>
      </c>
      <c r="F50" t="s">
        <v>18</v>
      </c>
      <c r="G50" t="s">
        <v>27</v>
      </c>
      <c r="H50" s="1">
        <v>46169</v>
      </c>
      <c r="I50" s="1">
        <v>46197</v>
      </c>
      <c r="J50">
        <v>14</v>
      </c>
      <c r="K50" t="s">
        <v>35</v>
      </c>
      <c r="L50" t="s">
        <v>40</v>
      </c>
      <c r="M50" t="s">
        <v>52</v>
      </c>
      <c r="N50">
        <v>28</v>
      </c>
      <c r="O50" t="str">
        <f t="shared" si="1"/>
        <v>Intermediate</v>
      </c>
      <c r="P50" t="str">
        <f>IF(ADR_Data[[#This Row],[Age]]&lt;18,"&lt;18",IF(ADR_Data[[#This Row],[Age]]&lt;=40,"18-40",IF(ADR_Data[[#This Row],[Age]]&lt;=60,"41-60","&gt;60")))</f>
        <v>&gt;60</v>
      </c>
    </row>
    <row r="51" spans="1:16" x14ac:dyDescent="0.35">
      <c r="A51" t="s">
        <v>111</v>
      </c>
      <c r="B51">
        <v>64</v>
      </c>
      <c r="C51" t="s">
        <v>15</v>
      </c>
      <c r="D51" t="s">
        <v>16</v>
      </c>
      <c r="E51" t="s">
        <v>17</v>
      </c>
      <c r="F51" t="s">
        <v>54</v>
      </c>
      <c r="G51" t="s">
        <v>19</v>
      </c>
      <c r="H51" s="1">
        <v>46121</v>
      </c>
      <c r="I51" s="1">
        <v>46142</v>
      </c>
      <c r="J51">
        <v>4</v>
      </c>
      <c r="K51" t="s">
        <v>28</v>
      </c>
      <c r="L51" t="s">
        <v>40</v>
      </c>
      <c r="M51" t="s">
        <v>57</v>
      </c>
      <c r="N51">
        <v>21</v>
      </c>
      <c r="O51" t="str">
        <f t="shared" si="1"/>
        <v>Intermediate</v>
      </c>
      <c r="P51" t="str">
        <f>IF(ADR_Data[[#This Row],[Age]]&lt;18,"&lt;18",IF(ADR_Data[[#This Row],[Age]]&lt;=40,"18-40",IF(ADR_Data[[#This Row],[Age]]&lt;=60,"41-60","&gt;60")))</f>
        <v>&gt;60</v>
      </c>
    </row>
    <row r="52" spans="1:16" x14ac:dyDescent="0.35">
      <c r="A52" t="s">
        <v>112</v>
      </c>
      <c r="B52">
        <v>62</v>
      </c>
      <c r="C52" t="s">
        <v>31</v>
      </c>
      <c r="D52" t="s">
        <v>71</v>
      </c>
      <c r="E52" t="s">
        <v>38</v>
      </c>
      <c r="F52" t="s">
        <v>73</v>
      </c>
      <c r="G52" t="s">
        <v>27</v>
      </c>
      <c r="H52" s="1">
        <v>46164</v>
      </c>
      <c r="I52" s="1">
        <v>46167</v>
      </c>
      <c r="J52">
        <v>7</v>
      </c>
      <c r="K52" t="s">
        <v>28</v>
      </c>
      <c r="L52" t="s">
        <v>21</v>
      </c>
      <c r="M52" t="s">
        <v>29</v>
      </c>
      <c r="N52">
        <v>3</v>
      </c>
      <c r="O52" t="str">
        <f t="shared" si="1"/>
        <v>Early</v>
      </c>
      <c r="P52" t="str">
        <f>IF(ADR_Data[[#This Row],[Age]]&lt;18,"&lt;18",IF(ADR_Data[[#This Row],[Age]]&lt;=40,"18-40",IF(ADR_Data[[#This Row],[Age]]&lt;=60,"41-60","&gt;60")))</f>
        <v>&gt;60</v>
      </c>
    </row>
    <row r="53" spans="1:16" x14ac:dyDescent="0.35">
      <c r="A53" t="s">
        <v>113</v>
      </c>
      <c r="B53">
        <v>29</v>
      </c>
      <c r="C53" t="s">
        <v>31</v>
      </c>
      <c r="D53" t="s">
        <v>71</v>
      </c>
      <c r="E53" t="s">
        <v>38</v>
      </c>
      <c r="F53" t="s">
        <v>66</v>
      </c>
      <c r="G53" t="s">
        <v>27</v>
      </c>
      <c r="H53" s="1">
        <v>46167</v>
      </c>
      <c r="I53" s="1">
        <v>46181</v>
      </c>
      <c r="J53">
        <v>13</v>
      </c>
      <c r="K53" t="s">
        <v>28</v>
      </c>
      <c r="L53" t="s">
        <v>21</v>
      </c>
      <c r="M53" t="s">
        <v>57</v>
      </c>
      <c r="N53">
        <v>14</v>
      </c>
      <c r="O53" t="str">
        <f t="shared" si="1"/>
        <v>Intermediate</v>
      </c>
      <c r="P53" t="str">
        <f>IF(ADR_Data[[#This Row],[Age]]&lt;18,"&lt;18",IF(ADR_Data[[#This Row],[Age]]&lt;=40,"18-40",IF(ADR_Data[[#This Row],[Age]]&lt;=60,"41-60","&gt;60")))</f>
        <v>18-40</v>
      </c>
    </row>
    <row r="54" spans="1:16" x14ac:dyDescent="0.35">
      <c r="A54" t="s">
        <v>114</v>
      </c>
      <c r="B54">
        <v>19</v>
      </c>
      <c r="C54" t="s">
        <v>31</v>
      </c>
      <c r="D54" t="s">
        <v>16</v>
      </c>
      <c r="E54" t="s">
        <v>17</v>
      </c>
      <c r="F54" t="s">
        <v>18</v>
      </c>
      <c r="G54" t="s">
        <v>19</v>
      </c>
      <c r="H54" s="1">
        <v>46105</v>
      </c>
      <c r="I54" s="1">
        <v>46106</v>
      </c>
      <c r="J54">
        <v>6</v>
      </c>
      <c r="K54" t="s">
        <v>28</v>
      </c>
      <c r="L54" t="s">
        <v>40</v>
      </c>
      <c r="M54" t="s">
        <v>57</v>
      </c>
      <c r="N54">
        <v>1</v>
      </c>
      <c r="O54" t="str">
        <f t="shared" si="1"/>
        <v>Early</v>
      </c>
      <c r="P54" t="str">
        <f>IF(ADR_Data[[#This Row],[Age]]&lt;18,"&lt;18",IF(ADR_Data[[#This Row],[Age]]&lt;=40,"18-40",IF(ADR_Data[[#This Row],[Age]]&lt;=60,"41-60","&gt;60")))</f>
        <v>18-40</v>
      </c>
    </row>
    <row r="55" spans="1:16" x14ac:dyDescent="0.35">
      <c r="A55" t="s">
        <v>115</v>
      </c>
      <c r="B55">
        <v>21</v>
      </c>
      <c r="C55" t="s">
        <v>15</v>
      </c>
      <c r="D55" t="s">
        <v>60</v>
      </c>
      <c r="E55" t="s">
        <v>99</v>
      </c>
      <c r="F55" t="s">
        <v>47</v>
      </c>
      <c r="G55" t="s">
        <v>19</v>
      </c>
      <c r="H55" s="1">
        <v>46041</v>
      </c>
      <c r="I55" s="1">
        <v>46048</v>
      </c>
      <c r="J55">
        <v>11</v>
      </c>
      <c r="K55" t="s">
        <v>28</v>
      </c>
      <c r="L55" t="s">
        <v>40</v>
      </c>
      <c r="M55" t="s">
        <v>29</v>
      </c>
      <c r="N55">
        <v>7</v>
      </c>
      <c r="O55" t="str">
        <f t="shared" si="1"/>
        <v>Early</v>
      </c>
      <c r="P55" t="str">
        <f>IF(ADR_Data[[#This Row],[Age]]&lt;18,"&lt;18",IF(ADR_Data[[#This Row],[Age]]&lt;=40,"18-40",IF(ADR_Data[[#This Row],[Age]]&lt;=60,"41-60","&gt;60")))</f>
        <v>18-40</v>
      </c>
    </row>
    <row r="56" spans="1:16" x14ac:dyDescent="0.35">
      <c r="A56" t="s">
        <v>116</v>
      </c>
      <c r="B56">
        <v>20</v>
      </c>
      <c r="C56" t="s">
        <v>31</v>
      </c>
      <c r="D56" t="s">
        <v>16</v>
      </c>
      <c r="E56" t="s">
        <v>46</v>
      </c>
      <c r="F56" t="s">
        <v>18</v>
      </c>
      <c r="G56" t="s">
        <v>27</v>
      </c>
      <c r="H56" s="1">
        <v>46148</v>
      </c>
      <c r="I56" s="1">
        <v>46157</v>
      </c>
      <c r="J56">
        <v>7</v>
      </c>
      <c r="K56" t="s">
        <v>28</v>
      </c>
      <c r="L56" t="s">
        <v>40</v>
      </c>
      <c r="M56" t="s">
        <v>49</v>
      </c>
      <c r="N56">
        <v>9</v>
      </c>
      <c r="O56" t="str">
        <f t="shared" si="1"/>
        <v>Intermediate</v>
      </c>
      <c r="P56" t="str">
        <f>IF(ADR_Data[[#This Row],[Age]]&lt;18,"&lt;18",IF(ADR_Data[[#This Row],[Age]]&lt;=40,"18-40",IF(ADR_Data[[#This Row],[Age]]&lt;=60,"41-60","&gt;60")))</f>
        <v>18-40</v>
      </c>
    </row>
    <row r="57" spans="1:16" x14ac:dyDescent="0.35">
      <c r="A57" t="s">
        <v>117</v>
      </c>
      <c r="B57">
        <v>74</v>
      </c>
      <c r="C57" t="s">
        <v>31</v>
      </c>
      <c r="D57" t="s">
        <v>32</v>
      </c>
      <c r="E57" t="s">
        <v>51</v>
      </c>
      <c r="F57" t="s">
        <v>34</v>
      </c>
      <c r="G57" t="s">
        <v>19</v>
      </c>
      <c r="H57" s="1">
        <v>46078</v>
      </c>
      <c r="I57" s="1">
        <v>46084</v>
      </c>
      <c r="J57">
        <v>10</v>
      </c>
      <c r="K57" t="s">
        <v>28</v>
      </c>
      <c r="L57" t="s">
        <v>40</v>
      </c>
      <c r="M57" t="s">
        <v>29</v>
      </c>
      <c r="N57">
        <v>6</v>
      </c>
      <c r="O57" t="str">
        <f t="shared" si="1"/>
        <v>Early</v>
      </c>
      <c r="P57" t="str">
        <f>IF(ADR_Data[[#This Row],[Age]]&lt;18,"&lt;18",IF(ADR_Data[[#This Row],[Age]]&lt;=40,"18-40",IF(ADR_Data[[#This Row],[Age]]&lt;=60,"41-60","&gt;60")))</f>
        <v>&gt;60</v>
      </c>
    </row>
    <row r="58" spans="1:16" x14ac:dyDescent="0.35">
      <c r="A58" t="s">
        <v>118</v>
      </c>
      <c r="B58">
        <v>38</v>
      </c>
      <c r="C58" t="s">
        <v>15</v>
      </c>
      <c r="D58" t="s">
        <v>60</v>
      </c>
      <c r="E58" t="s">
        <v>61</v>
      </c>
      <c r="F58" t="s">
        <v>47</v>
      </c>
      <c r="G58" t="s">
        <v>44</v>
      </c>
      <c r="H58" s="1">
        <v>46169</v>
      </c>
      <c r="I58" s="1">
        <v>46184</v>
      </c>
      <c r="J58">
        <v>9</v>
      </c>
      <c r="K58" t="s">
        <v>20</v>
      </c>
      <c r="L58" t="s">
        <v>40</v>
      </c>
      <c r="M58" t="s">
        <v>22</v>
      </c>
      <c r="N58">
        <v>15</v>
      </c>
      <c r="O58" t="str">
        <f t="shared" si="1"/>
        <v>Intermediate</v>
      </c>
      <c r="P58" t="str">
        <f>IF(ADR_Data[[#This Row],[Age]]&lt;18,"&lt;18",IF(ADR_Data[[#This Row],[Age]]&lt;=40,"18-40",IF(ADR_Data[[#This Row],[Age]]&lt;=60,"41-60","&gt;60")))</f>
        <v>18-40</v>
      </c>
    </row>
    <row r="59" spans="1:16" x14ac:dyDescent="0.35">
      <c r="A59" t="s">
        <v>119</v>
      </c>
      <c r="B59">
        <v>70</v>
      </c>
      <c r="C59" t="s">
        <v>15</v>
      </c>
      <c r="D59" t="s">
        <v>60</v>
      </c>
      <c r="E59" t="s">
        <v>61</v>
      </c>
      <c r="F59" t="s">
        <v>62</v>
      </c>
      <c r="G59" t="s">
        <v>19</v>
      </c>
      <c r="H59" s="1">
        <v>46166</v>
      </c>
      <c r="I59" s="1">
        <v>46178</v>
      </c>
      <c r="J59">
        <v>10</v>
      </c>
      <c r="K59" t="s">
        <v>28</v>
      </c>
      <c r="L59" t="s">
        <v>40</v>
      </c>
      <c r="M59" t="s">
        <v>52</v>
      </c>
      <c r="N59">
        <v>12</v>
      </c>
      <c r="O59" t="str">
        <f t="shared" si="1"/>
        <v>Intermediate</v>
      </c>
      <c r="P59" t="str">
        <f>IF(ADR_Data[[#This Row],[Age]]&lt;18,"&lt;18",IF(ADR_Data[[#This Row],[Age]]&lt;=40,"18-40",IF(ADR_Data[[#This Row],[Age]]&lt;=60,"41-60","&gt;60")))</f>
        <v>&gt;60</v>
      </c>
    </row>
    <row r="60" spans="1:16" x14ac:dyDescent="0.35">
      <c r="A60" t="s">
        <v>120</v>
      </c>
      <c r="B60">
        <v>25</v>
      </c>
      <c r="C60" t="s">
        <v>15</v>
      </c>
      <c r="D60" t="s">
        <v>32</v>
      </c>
      <c r="E60" t="s">
        <v>33</v>
      </c>
      <c r="F60" t="s">
        <v>66</v>
      </c>
      <c r="G60" t="s">
        <v>27</v>
      </c>
      <c r="H60" s="1">
        <v>46112</v>
      </c>
      <c r="I60" s="1">
        <v>46140</v>
      </c>
      <c r="J60">
        <v>12</v>
      </c>
      <c r="K60" t="s">
        <v>28</v>
      </c>
      <c r="L60" t="s">
        <v>40</v>
      </c>
      <c r="M60" t="s">
        <v>57</v>
      </c>
      <c r="N60">
        <v>28</v>
      </c>
      <c r="O60" t="str">
        <f t="shared" si="1"/>
        <v>Intermediate</v>
      </c>
      <c r="P60" t="str">
        <f>IF(ADR_Data[[#This Row],[Age]]&lt;18,"&lt;18",IF(ADR_Data[[#This Row],[Age]]&lt;=40,"18-40",IF(ADR_Data[[#This Row],[Age]]&lt;=60,"41-60","&gt;60")))</f>
        <v>18-40</v>
      </c>
    </row>
    <row r="61" spans="1:16" x14ac:dyDescent="0.35">
      <c r="A61" t="s">
        <v>121</v>
      </c>
      <c r="B61">
        <v>71</v>
      </c>
      <c r="C61" t="s">
        <v>31</v>
      </c>
      <c r="D61" t="s">
        <v>42</v>
      </c>
      <c r="E61" t="s">
        <v>68</v>
      </c>
      <c r="F61" t="s">
        <v>43</v>
      </c>
      <c r="G61" t="s">
        <v>44</v>
      </c>
      <c r="H61" s="1">
        <v>46163</v>
      </c>
      <c r="I61" s="1">
        <v>46169</v>
      </c>
      <c r="J61">
        <v>2</v>
      </c>
      <c r="K61" t="s">
        <v>91</v>
      </c>
      <c r="L61" t="s">
        <v>40</v>
      </c>
      <c r="M61" t="s">
        <v>52</v>
      </c>
      <c r="N61">
        <v>6</v>
      </c>
      <c r="O61" t="str">
        <f t="shared" si="1"/>
        <v>Early</v>
      </c>
      <c r="P61" t="str">
        <f>IF(ADR_Data[[#This Row],[Age]]&lt;18,"&lt;18",IF(ADR_Data[[#This Row],[Age]]&lt;=40,"18-40",IF(ADR_Data[[#This Row],[Age]]&lt;=60,"41-60","&gt;60")))</f>
        <v>&gt;60</v>
      </c>
    </row>
    <row r="62" spans="1:16" x14ac:dyDescent="0.35">
      <c r="A62" t="s">
        <v>122</v>
      </c>
      <c r="B62">
        <v>19</v>
      </c>
      <c r="C62" t="s">
        <v>15</v>
      </c>
      <c r="D62" t="s">
        <v>24</v>
      </c>
      <c r="E62" t="s">
        <v>25</v>
      </c>
      <c r="F62" t="s">
        <v>123</v>
      </c>
      <c r="G62" t="s">
        <v>27</v>
      </c>
      <c r="H62" s="1">
        <v>46131</v>
      </c>
      <c r="I62" s="1">
        <v>46153</v>
      </c>
      <c r="J62">
        <v>1</v>
      </c>
      <c r="K62" t="s">
        <v>28</v>
      </c>
      <c r="L62" t="s">
        <v>40</v>
      </c>
      <c r="M62" t="s">
        <v>29</v>
      </c>
      <c r="N62">
        <v>22</v>
      </c>
      <c r="O62" t="str">
        <f t="shared" si="1"/>
        <v>Intermediate</v>
      </c>
      <c r="P62" t="str">
        <f>IF(ADR_Data[[#This Row],[Age]]&lt;18,"&lt;18",IF(ADR_Data[[#This Row],[Age]]&lt;=40,"18-40",IF(ADR_Data[[#This Row],[Age]]&lt;=60,"41-60","&gt;60")))</f>
        <v>18-40</v>
      </c>
    </row>
    <row r="63" spans="1:16" x14ac:dyDescent="0.35">
      <c r="A63" t="s">
        <v>124</v>
      </c>
      <c r="B63">
        <v>38</v>
      </c>
      <c r="C63" t="s">
        <v>15</v>
      </c>
      <c r="D63" t="s">
        <v>37</v>
      </c>
      <c r="E63" t="s">
        <v>72</v>
      </c>
      <c r="F63" t="s">
        <v>39</v>
      </c>
      <c r="G63" t="s">
        <v>19</v>
      </c>
      <c r="H63" s="1">
        <v>46108</v>
      </c>
      <c r="I63" s="1">
        <v>46121</v>
      </c>
      <c r="J63">
        <v>1</v>
      </c>
      <c r="K63" t="s">
        <v>28</v>
      </c>
      <c r="L63" t="s">
        <v>21</v>
      </c>
      <c r="M63" t="s">
        <v>29</v>
      </c>
      <c r="N63">
        <v>13</v>
      </c>
      <c r="O63" t="str">
        <f t="shared" si="1"/>
        <v>Intermediate</v>
      </c>
      <c r="P63" t="str">
        <f>IF(ADR_Data[[#This Row],[Age]]&lt;18,"&lt;18",IF(ADR_Data[[#This Row],[Age]]&lt;=40,"18-40",IF(ADR_Data[[#This Row],[Age]]&lt;=60,"41-60","&gt;60")))</f>
        <v>18-40</v>
      </c>
    </row>
    <row r="64" spans="1:16" x14ac:dyDescent="0.35">
      <c r="A64" t="s">
        <v>125</v>
      </c>
      <c r="B64">
        <v>38</v>
      </c>
      <c r="C64" t="s">
        <v>15</v>
      </c>
      <c r="D64" t="s">
        <v>37</v>
      </c>
      <c r="E64" t="s">
        <v>38</v>
      </c>
      <c r="F64" t="s">
        <v>18</v>
      </c>
      <c r="G64" t="s">
        <v>19</v>
      </c>
      <c r="H64" s="1">
        <v>46117</v>
      </c>
      <c r="I64" s="1">
        <v>46138</v>
      </c>
      <c r="J64">
        <v>7</v>
      </c>
      <c r="K64" t="s">
        <v>28</v>
      </c>
      <c r="L64" t="s">
        <v>40</v>
      </c>
      <c r="M64" t="s">
        <v>57</v>
      </c>
      <c r="N64">
        <v>21</v>
      </c>
      <c r="O64" t="str">
        <f t="shared" si="1"/>
        <v>Intermediate</v>
      </c>
      <c r="P64" t="str">
        <f>IF(ADR_Data[[#This Row],[Age]]&lt;18,"&lt;18",IF(ADR_Data[[#This Row],[Age]]&lt;=40,"18-40",IF(ADR_Data[[#This Row],[Age]]&lt;=60,"41-60","&gt;60")))</f>
        <v>18-40</v>
      </c>
    </row>
    <row r="65" spans="1:16" x14ac:dyDescent="0.35">
      <c r="A65" t="s">
        <v>126</v>
      </c>
      <c r="B65">
        <v>36</v>
      </c>
      <c r="C65" t="s">
        <v>31</v>
      </c>
      <c r="D65" t="s">
        <v>16</v>
      </c>
      <c r="E65" t="s">
        <v>46</v>
      </c>
      <c r="F65" t="s">
        <v>18</v>
      </c>
      <c r="G65" t="s">
        <v>27</v>
      </c>
      <c r="H65" s="1">
        <v>46132</v>
      </c>
      <c r="I65" s="1">
        <v>46145</v>
      </c>
      <c r="J65">
        <v>4</v>
      </c>
      <c r="K65" t="s">
        <v>28</v>
      </c>
      <c r="L65" t="s">
        <v>40</v>
      </c>
      <c r="M65" t="s">
        <v>57</v>
      </c>
      <c r="N65">
        <v>13</v>
      </c>
      <c r="O65" t="str">
        <f t="shared" si="1"/>
        <v>Intermediate</v>
      </c>
      <c r="P65" t="str">
        <f>IF(ADR_Data[[#This Row],[Age]]&lt;18,"&lt;18",IF(ADR_Data[[#This Row],[Age]]&lt;=40,"18-40",IF(ADR_Data[[#This Row],[Age]]&lt;=60,"41-60","&gt;60")))</f>
        <v>18-40</v>
      </c>
    </row>
    <row r="66" spans="1:16" x14ac:dyDescent="0.35">
      <c r="A66" t="s">
        <v>127</v>
      </c>
      <c r="B66">
        <v>51</v>
      </c>
      <c r="C66" t="s">
        <v>15</v>
      </c>
      <c r="D66" t="s">
        <v>37</v>
      </c>
      <c r="E66" t="s">
        <v>38</v>
      </c>
      <c r="F66" t="s">
        <v>66</v>
      </c>
      <c r="G66" t="s">
        <v>19</v>
      </c>
      <c r="H66" s="1">
        <v>46061</v>
      </c>
      <c r="I66" s="1">
        <v>46083</v>
      </c>
      <c r="J66">
        <v>6</v>
      </c>
      <c r="K66" t="s">
        <v>20</v>
      </c>
      <c r="L66" t="s">
        <v>40</v>
      </c>
      <c r="M66" t="s">
        <v>57</v>
      </c>
      <c r="N66">
        <v>22</v>
      </c>
      <c r="O66" t="str">
        <f t="shared" ref="O66:O97" si="2">IF(N66&lt;=7,"Early",IF(N66&lt;=30,"Intermediate","Late"))</f>
        <v>Intermediate</v>
      </c>
      <c r="P66" t="str">
        <f>IF(ADR_Data[[#This Row],[Age]]&lt;18,"&lt;18",IF(ADR_Data[[#This Row],[Age]]&lt;=40,"18-40",IF(ADR_Data[[#This Row],[Age]]&lt;=60,"41-60","&gt;60")))</f>
        <v>41-60</v>
      </c>
    </row>
    <row r="67" spans="1:16" x14ac:dyDescent="0.35">
      <c r="A67" t="s">
        <v>128</v>
      </c>
      <c r="B67">
        <v>71</v>
      </c>
      <c r="C67" t="s">
        <v>15</v>
      </c>
      <c r="D67" t="s">
        <v>16</v>
      </c>
      <c r="E67" t="s">
        <v>46</v>
      </c>
      <c r="F67" t="s">
        <v>54</v>
      </c>
      <c r="G67" t="s">
        <v>19</v>
      </c>
      <c r="H67" s="1">
        <v>46079</v>
      </c>
      <c r="I67" s="1">
        <v>46094</v>
      </c>
      <c r="J67">
        <v>7</v>
      </c>
      <c r="K67" t="s">
        <v>20</v>
      </c>
      <c r="L67" t="s">
        <v>40</v>
      </c>
      <c r="M67" t="s">
        <v>52</v>
      </c>
      <c r="N67">
        <v>15</v>
      </c>
      <c r="O67" t="str">
        <f t="shared" si="2"/>
        <v>Intermediate</v>
      </c>
      <c r="P67" t="str">
        <f>IF(ADR_Data[[#This Row],[Age]]&lt;18,"&lt;18",IF(ADR_Data[[#This Row],[Age]]&lt;=40,"18-40",IF(ADR_Data[[#This Row],[Age]]&lt;=60,"41-60","&gt;60")))</f>
        <v>&gt;60</v>
      </c>
    </row>
    <row r="68" spans="1:16" x14ac:dyDescent="0.35">
      <c r="A68" t="s">
        <v>129</v>
      </c>
      <c r="B68">
        <v>28</v>
      </c>
      <c r="C68" t="s">
        <v>31</v>
      </c>
      <c r="D68" t="s">
        <v>37</v>
      </c>
      <c r="E68" t="s">
        <v>38</v>
      </c>
      <c r="F68" t="s">
        <v>66</v>
      </c>
      <c r="G68" t="s">
        <v>19</v>
      </c>
      <c r="H68" s="1">
        <v>46060</v>
      </c>
      <c r="I68" s="1">
        <v>46090</v>
      </c>
      <c r="J68">
        <v>11</v>
      </c>
      <c r="K68" t="s">
        <v>20</v>
      </c>
      <c r="L68" t="s">
        <v>40</v>
      </c>
      <c r="M68" t="s">
        <v>49</v>
      </c>
      <c r="N68">
        <v>30</v>
      </c>
      <c r="O68" t="str">
        <f t="shared" si="2"/>
        <v>Intermediate</v>
      </c>
      <c r="P68" t="str">
        <f>IF(ADR_Data[[#This Row],[Age]]&lt;18,"&lt;18",IF(ADR_Data[[#This Row],[Age]]&lt;=40,"18-40",IF(ADR_Data[[#This Row],[Age]]&lt;=60,"41-60","&gt;60")))</f>
        <v>18-40</v>
      </c>
    </row>
    <row r="69" spans="1:16" x14ac:dyDescent="0.35">
      <c r="A69" t="s">
        <v>130</v>
      </c>
      <c r="B69">
        <v>55</v>
      </c>
      <c r="C69" t="s">
        <v>31</v>
      </c>
      <c r="D69" t="s">
        <v>24</v>
      </c>
      <c r="E69" t="s">
        <v>131</v>
      </c>
      <c r="F69" t="s">
        <v>18</v>
      </c>
      <c r="G69" t="s">
        <v>19</v>
      </c>
      <c r="H69" s="1">
        <v>46052</v>
      </c>
      <c r="I69" s="1">
        <v>46069</v>
      </c>
      <c r="J69">
        <v>5</v>
      </c>
      <c r="K69" t="s">
        <v>28</v>
      </c>
      <c r="L69" t="s">
        <v>21</v>
      </c>
      <c r="M69" t="s">
        <v>57</v>
      </c>
      <c r="N69">
        <v>17</v>
      </c>
      <c r="O69" t="str">
        <f t="shared" si="2"/>
        <v>Intermediate</v>
      </c>
      <c r="P69" t="str">
        <f>IF(ADR_Data[[#This Row],[Age]]&lt;18,"&lt;18",IF(ADR_Data[[#This Row],[Age]]&lt;=40,"18-40",IF(ADR_Data[[#This Row],[Age]]&lt;=60,"41-60","&gt;60")))</f>
        <v>41-60</v>
      </c>
    </row>
    <row r="70" spans="1:16" x14ac:dyDescent="0.35">
      <c r="A70" t="s">
        <v>132</v>
      </c>
      <c r="B70">
        <v>27</v>
      </c>
      <c r="C70" t="s">
        <v>31</v>
      </c>
      <c r="D70" t="s">
        <v>32</v>
      </c>
      <c r="E70" t="s">
        <v>33</v>
      </c>
      <c r="F70" t="s">
        <v>34</v>
      </c>
      <c r="G70" t="s">
        <v>44</v>
      </c>
      <c r="H70" s="1">
        <v>46091</v>
      </c>
      <c r="I70" s="1">
        <v>46093</v>
      </c>
      <c r="J70">
        <v>13</v>
      </c>
      <c r="K70" t="s">
        <v>28</v>
      </c>
      <c r="L70" t="s">
        <v>40</v>
      </c>
      <c r="M70" t="s">
        <v>49</v>
      </c>
      <c r="N70">
        <v>2</v>
      </c>
      <c r="O70" t="str">
        <f t="shared" si="2"/>
        <v>Early</v>
      </c>
      <c r="P70" t="str">
        <f>IF(ADR_Data[[#This Row],[Age]]&lt;18,"&lt;18",IF(ADR_Data[[#This Row],[Age]]&lt;=40,"18-40",IF(ADR_Data[[#This Row],[Age]]&lt;=60,"41-60","&gt;60")))</f>
        <v>18-40</v>
      </c>
    </row>
    <row r="71" spans="1:16" x14ac:dyDescent="0.35">
      <c r="A71" t="s">
        <v>133</v>
      </c>
      <c r="B71">
        <v>68</v>
      </c>
      <c r="C71" t="s">
        <v>31</v>
      </c>
      <c r="D71" t="s">
        <v>42</v>
      </c>
      <c r="E71" t="s">
        <v>68</v>
      </c>
      <c r="F71" t="s">
        <v>56</v>
      </c>
      <c r="G71" t="s">
        <v>27</v>
      </c>
      <c r="H71" s="1">
        <v>46102</v>
      </c>
      <c r="I71" s="1">
        <v>46118</v>
      </c>
      <c r="J71">
        <v>8</v>
      </c>
      <c r="K71" t="s">
        <v>28</v>
      </c>
      <c r="L71" t="s">
        <v>40</v>
      </c>
      <c r="M71" t="s">
        <v>22</v>
      </c>
      <c r="N71">
        <v>16</v>
      </c>
      <c r="O71" t="str">
        <f t="shared" si="2"/>
        <v>Intermediate</v>
      </c>
      <c r="P71" t="str">
        <f>IF(ADR_Data[[#This Row],[Age]]&lt;18,"&lt;18",IF(ADR_Data[[#This Row],[Age]]&lt;=40,"18-40",IF(ADR_Data[[#This Row],[Age]]&lt;=60,"41-60","&gt;60")))</f>
        <v>&gt;60</v>
      </c>
    </row>
    <row r="72" spans="1:16" x14ac:dyDescent="0.35">
      <c r="A72" t="s">
        <v>134</v>
      </c>
      <c r="B72">
        <v>46</v>
      </c>
      <c r="C72" t="s">
        <v>15</v>
      </c>
      <c r="D72" t="s">
        <v>71</v>
      </c>
      <c r="E72" t="s">
        <v>72</v>
      </c>
      <c r="F72" t="s">
        <v>73</v>
      </c>
      <c r="G72" t="s">
        <v>27</v>
      </c>
      <c r="H72" s="1">
        <v>46144</v>
      </c>
      <c r="I72" s="1">
        <v>46149</v>
      </c>
      <c r="J72">
        <v>2</v>
      </c>
      <c r="K72" t="s">
        <v>28</v>
      </c>
      <c r="L72" t="s">
        <v>21</v>
      </c>
      <c r="M72" t="s">
        <v>29</v>
      </c>
      <c r="N72">
        <v>5</v>
      </c>
      <c r="O72" t="str">
        <f t="shared" si="2"/>
        <v>Early</v>
      </c>
      <c r="P72" t="str">
        <f>IF(ADR_Data[[#This Row],[Age]]&lt;18,"&lt;18",IF(ADR_Data[[#This Row],[Age]]&lt;=40,"18-40",IF(ADR_Data[[#This Row],[Age]]&lt;=60,"41-60","&gt;60")))</f>
        <v>41-60</v>
      </c>
    </row>
    <row r="73" spans="1:16" x14ac:dyDescent="0.35">
      <c r="A73" t="s">
        <v>135</v>
      </c>
      <c r="B73">
        <v>18</v>
      </c>
      <c r="C73" t="s">
        <v>31</v>
      </c>
      <c r="D73" t="s">
        <v>42</v>
      </c>
      <c r="E73" t="s">
        <v>17</v>
      </c>
      <c r="F73" t="s">
        <v>43</v>
      </c>
      <c r="G73" t="s">
        <v>44</v>
      </c>
      <c r="H73" s="1">
        <v>46112</v>
      </c>
      <c r="I73" s="1">
        <v>46126</v>
      </c>
      <c r="J73">
        <v>10</v>
      </c>
      <c r="K73" t="s">
        <v>20</v>
      </c>
      <c r="L73" t="s">
        <v>21</v>
      </c>
      <c r="M73" t="s">
        <v>29</v>
      </c>
      <c r="N73">
        <v>14</v>
      </c>
      <c r="O73" t="str">
        <f t="shared" si="2"/>
        <v>Intermediate</v>
      </c>
      <c r="P73" t="str">
        <f>IF(ADR_Data[[#This Row],[Age]]&lt;18,"&lt;18",IF(ADR_Data[[#This Row],[Age]]&lt;=40,"18-40",IF(ADR_Data[[#This Row],[Age]]&lt;=60,"41-60","&gt;60")))</f>
        <v>18-40</v>
      </c>
    </row>
    <row r="74" spans="1:16" x14ac:dyDescent="0.35">
      <c r="A74" t="s">
        <v>136</v>
      </c>
      <c r="B74">
        <v>64</v>
      </c>
      <c r="C74" t="s">
        <v>31</v>
      </c>
      <c r="D74" t="s">
        <v>60</v>
      </c>
      <c r="E74" t="s">
        <v>61</v>
      </c>
      <c r="F74" t="s">
        <v>62</v>
      </c>
      <c r="G74" t="s">
        <v>19</v>
      </c>
      <c r="H74" s="1">
        <v>46078</v>
      </c>
      <c r="I74" s="1">
        <v>46094</v>
      </c>
      <c r="J74">
        <v>13</v>
      </c>
      <c r="K74" t="s">
        <v>28</v>
      </c>
      <c r="L74" t="s">
        <v>21</v>
      </c>
      <c r="M74" t="s">
        <v>57</v>
      </c>
      <c r="N74">
        <v>16</v>
      </c>
      <c r="O74" t="str">
        <f t="shared" si="2"/>
        <v>Intermediate</v>
      </c>
      <c r="P74" t="str">
        <f>IF(ADR_Data[[#This Row],[Age]]&lt;18,"&lt;18",IF(ADR_Data[[#This Row],[Age]]&lt;=40,"18-40",IF(ADR_Data[[#This Row],[Age]]&lt;=60,"41-60","&gt;60")))</f>
        <v>&gt;60</v>
      </c>
    </row>
    <row r="75" spans="1:16" x14ac:dyDescent="0.35">
      <c r="A75" t="s">
        <v>137</v>
      </c>
      <c r="B75">
        <v>66</v>
      </c>
      <c r="C75" t="s">
        <v>31</v>
      </c>
      <c r="D75" t="s">
        <v>16</v>
      </c>
      <c r="E75" t="s">
        <v>46</v>
      </c>
      <c r="F75" t="s">
        <v>47</v>
      </c>
      <c r="G75" t="s">
        <v>27</v>
      </c>
      <c r="H75" s="1">
        <v>46069</v>
      </c>
      <c r="I75" s="1">
        <v>46083</v>
      </c>
      <c r="J75">
        <v>10</v>
      </c>
      <c r="K75" t="s">
        <v>35</v>
      </c>
      <c r="L75" t="s">
        <v>40</v>
      </c>
      <c r="M75" t="s">
        <v>57</v>
      </c>
      <c r="N75">
        <v>14</v>
      </c>
      <c r="O75" t="str">
        <f t="shared" si="2"/>
        <v>Intermediate</v>
      </c>
      <c r="P75" t="str">
        <f>IF(ADR_Data[[#This Row],[Age]]&lt;18,"&lt;18",IF(ADR_Data[[#This Row],[Age]]&lt;=40,"18-40",IF(ADR_Data[[#This Row],[Age]]&lt;=60,"41-60","&gt;60")))</f>
        <v>&gt;60</v>
      </c>
    </row>
    <row r="76" spans="1:16" x14ac:dyDescent="0.35">
      <c r="A76" t="s">
        <v>138</v>
      </c>
      <c r="B76">
        <v>43</v>
      </c>
      <c r="C76" t="s">
        <v>15</v>
      </c>
      <c r="D76" t="s">
        <v>76</v>
      </c>
      <c r="E76" t="s">
        <v>78</v>
      </c>
      <c r="F76" t="s">
        <v>79</v>
      </c>
      <c r="G76" t="s">
        <v>19</v>
      </c>
      <c r="H76" s="1">
        <v>46137</v>
      </c>
      <c r="I76" s="1">
        <v>46160</v>
      </c>
      <c r="J76">
        <v>14</v>
      </c>
      <c r="K76" t="s">
        <v>20</v>
      </c>
      <c r="L76" t="s">
        <v>40</v>
      </c>
      <c r="M76" t="s">
        <v>29</v>
      </c>
      <c r="N76">
        <v>23</v>
      </c>
      <c r="O76" t="str">
        <f t="shared" si="2"/>
        <v>Intermediate</v>
      </c>
      <c r="P76" t="str">
        <f>IF(ADR_Data[[#This Row],[Age]]&lt;18,"&lt;18",IF(ADR_Data[[#This Row],[Age]]&lt;=40,"18-40",IF(ADR_Data[[#This Row],[Age]]&lt;=60,"41-60","&gt;60")))</f>
        <v>41-60</v>
      </c>
    </row>
    <row r="77" spans="1:16" x14ac:dyDescent="0.35">
      <c r="A77" t="s">
        <v>139</v>
      </c>
      <c r="B77">
        <v>75</v>
      </c>
      <c r="C77" t="s">
        <v>15</v>
      </c>
      <c r="D77" t="s">
        <v>76</v>
      </c>
      <c r="E77" t="s">
        <v>38</v>
      </c>
      <c r="F77" t="s">
        <v>79</v>
      </c>
      <c r="G77" t="s">
        <v>27</v>
      </c>
      <c r="H77" s="1">
        <v>46037</v>
      </c>
      <c r="I77" s="1">
        <v>46042</v>
      </c>
      <c r="J77">
        <v>12</v>
      </c>
      <c r="K77" t="s">
        <v>28</v>
      </c>
      <c r="L77" t="s">
        <v>40</v>
      </c>
      <c r="M77" t="s">
        <v>57</v>
      </c>
      <c r="N77">
        <v>5</v>
      </c>
      <c r="O77" t="str">
        <f t="shared" si="2"/>
        <v>Early</v>
      </c>
      <c r="P77" t="str">
        <f>IF(ADR_Data[[#This Row],[Age]]&lt;18,"&lt;18",IF(ADR_Data[[#This Row],[Age]]&lt;=40,"18-40",IF(ADR_Data[[#This Row],[Age]]&lt;=60,"41-60","&gt;60")))</f>
        <v>&gt;60</v>
      </c>
    </row>
    <row r="78" spans="1:16" x14ac:dyDescent="0.35">
      <c r="A78" t="s">
        <v>140</v>
      </c>
      <c r="B78">
        <v>39</v>
      </c>
      <c r="C78" t="s">
        <v>15</v>
      </c>
      <c r="D78" t="s">
        <v>60</v>
      </c>
      <c r="E78" t="s">
        <v>99</v>
      </c>
      <c r="F78" t="s">
        <v>100</v>
      </c>
      <c r="G78" t="s">
        <v>19</v>
      </c>
      <c r="H78" s="1">
        <v>46047</v>
      </c>
      <c r="I78" s="1">
        <v>46051</v>
      </c>
      <c r="J78">
        <v>10</v>
      </c>
      <c r="K78" t="s">
        <v>20</v>
      </c>
      <c r="L78" t="s">
        <v>40</v>
      </c>
      <c r="M78" t="s">
        <v>22</v>
      </c>
      <c r="N78">
        <v>4</v>
      </c>
      <c r="O78" t="str">
        <f t="shared" si="2"/>
        <v>Early</v>
      </c>
      <c r="P78" t="str">
        <f>IF(ADR_Data[[#This Row],[Age]]&lt;18,"&lt;18",IF(ADR_Data[[#This Row],[Age]]&lt;=40,"18-40",IF(ADR_Data[[#This Row],[Age]]&lt;=60,"41-60","&gt;60")))</f>
        <v>18-40</v>
      </c>
    </row>
    <row r="79" spans="1:16" x14ac:dyDescent="0.35">
      <c r="A79" t="s">
        <v>141</v>
      </c>
      <c r="B79">
        <v>53</v>
      </c>
      <c r="C79" t="s">
        <v>31</v>
      </c>
      <c r="D79" t="s">
        <v>60</v>
      </c>
      <c r="E79" t="s">
        <v>99</v>
      </c>
      <c r="F79" t="s">
        <v>100</v>
      </c>
      <c r="G79" t="s">
        <v>19</v>
      </c>
      <c r="H79" s="1">
        <v>46133</v>
      </c>
      <c r="I79" s="1">
        <v>46145</v>
      </c>
      <c r="J79">
        <v>3</v>
      </c>
      <c r="K79" t="s">
        <v>28</v>
      </c>
      <c r="L79" t="s">
        <v>21</v>
      </c>
      <c r="M79" t="s">
        <v>49</v>
      </c>
      <c r="N79">
        <v>12</v>
      </c>
      <c r="O79" t="str">
        <f t="shared" si="2"/>
        <v>Intermediate</v>
      </c>
      <c r="P79" t="str">
        <f>IF(ADR_Data[[#This Row],[Age]]&lt;18,"&lt;18",IF(ADR_Data[[#This Row],[Age]]&lt;=40,"18-40",IF(ADR_Data[[#This Row],[Age]]&lt;=60,"41-60","&gt;60")))</f>
        <v>41-60</v>
      </c>
    </row>
    <row r="80" spans="1:16" x14ac:dyDescent="0.35">
      <c r="A80" t="s">
        <v>142</v>
      </c>
      <c r="B80">
        <v>43</v>
      </c>
      <c r="C80" t="s">
        <v>15</v>
      </c>
      <c r="D80" t="s">
        <v>71</v>
      </c>
      <c r="E80" t="s">
        <v>72</v>
      </c>
      <c r="F80" t="s">
        <v>73</v>
      </c>
      <c r="G80" t="s">
        <v>44</v>
      </c>
      <c r="H80" s="1">
        <v>46081</v>
      </c>
      <c r="I80" s="1">
        <v>46106</v>
      </c>
      <c r="J80">
        <v>1</v>
      </c>
      <c r="K80" t="s">
        <v>20</v>
      </c>
      <c r="L80" t="s">
        <v>21</v>
      </c>
      <c r="M80" t="s">
        <v>29</v>
      </c>
      <c r="N80">
        <v>25</v>
      </c>
      <c r="O80" t="str">
        <f t="shared" si="2"/>
        <v>Intermediate</v>
      </c>
      <c r="P80" t="str">
        <f>IF(ADR_Data[[#This Row],[Age]]&lt;18,"&lt;18",IF(ADR_Data[[#This Row],[Age]]&lt;=40,"18-40",IF(ADR_Data[[#This Row],[Age]]&lt;=60,"41-60","&gt;60")))</f>
        <v>41-60</v>
      </c>
    </row>
    <row r="81" spans="1:16" x14ac:dyDescent="0.35">
      <c r="A81" t="s">
        <v>143</v>
      </c>
      <c r="B81">
        <v>72</v>
      </c>
      <c r="C81" t="s">
        <v>15</v>
      </c>
      <c r="D81" t="s">
        <v>32</v>
      </c>
      <c r="E81" t="s">
        <v>33</v>
      </c>
      <c r="F81" t="s">
        <v>66</v>
      </c>
      <c r="G81" t="s">
        <v>27</v>
      </c>
      <c r="H81" s="1">
        <v>46097</v>
      </c>
      <c r="I81" s="1">
        <v>46121</v>
      </c>
      <c r="J81">
        <v>7</v>
      </c>
      <c r="K81" t="s">
        <v>28</v>
      </c>
      <c r="L81" t="s">
        <v>21</v>
      </c>
      <c r="M81" t="s">
        <v>22</v>
      </c>
      <c r="N81">
        <v>24</v>
      </c>
      <c r="O81" t="str">
        <f t="shared" si="2"/>
        <v>Intermediate</v>
      </c>
      <c r="P81" t="str">
        <f>IF(ADR_Data[[#This Row],[Age]]&lt;18,"&lt;18",IF(ADR_Data[[#This Row],[Age]]&lt;=40,"18-40",IF(ADR_Data[[#This Row],[Age]]&lt;=60,"41-60","&gt;60")))</f>
        <v>&gt;60</v>
      </c>
    </row>
    <row r="82" spans="1:16" x14ac:dyDescent="0.35">
      <c r="A82" t="s">
        <v>144</v>
      </c>
      <c r="B82">
        <v>57</v>
      </c>
      <c r="C82" t="s">
        <v>31</v>
      </c>
      <c r="D82" t="s">
        <v>32</v>
      </c>
      <c r="E82" t="s">
        <v>33</v>
      </c>
      <c r="F82" t="s">
        <v>18</v>
      </c>
      <c r="G82" t="s">
        <v>27</v>
      </c>
      <c r="H82" s="1">
        <v>46028</v>
      </c>
      <c r="I82" s="1">
        <v>46032</v>
      </c>
      <c r="J82">
        <v>6</v>
      </c>
      <c r="K82" t="s">
        <v>28</v>
      </c>
      <c r="L82" t="s">
        <v>21</v>
      </c>
      <c r="M82" t="s">
        <v>29</v>
      </c>
      <c r="N82">
        <v>4</v>
      </c>
      <c r="O82" t="str">
        <f t="shared" si="2"/>
        <v>Early</v>
      </c>
      <c r="P82" t="str">
        <f>IF(ADR_Data[[#This Row],[Age]]&lt;18,"&lt;18",IF(ADR_Data[[#This Row],[Age]]&lt;=40,"18-40",IF(ADR_Data[[#This Row],[Age]]&lt;=60,"41-60","&gt;60")))</f>
        <v>41-60</v>
      </c>
    </row>
    <row r="83" spans="1:16" x14ac:dyDescent="0.35">
      <c r="A83" t="s">
        <v>145</v>
      </c>
      <c r="B83">
        <v>68</v>
      </c>
      <c r="C83" t="s">
        <v>15</v>
      </c>
      <c r="D83" t="s">
        <v>42</v>
      </c>
      <c r="E83" t="s">
        <v>17</v>
      </c>
      <c r="F83" t="s">
        <v>56</v>
      </c>
      <c r="G83" t="s">
        <v>19</v>
      </c>
      <c r="H83" s="1">
        <v>46101</v>
      </c>
      <c r="I83" s="1">
        <v>46120</v>
      </c>
      <c r="J83">
        <v>13</v>
      </c>
      <c r="K83" t="s">
        <v>28</v>
      </c>
      <c r="L83" t="s">
        <v>21</v>
      </c>
      <c r="M83" t="s">
        <v>49</v>
      </c>
      <c r="N83">
        <v>19</v>
      </c>
      <c r="O83" t="str">
        <f t="shared" si="2"/>
        <v>Intermediate</v>
      </c>
      <c r="P83" t="str">
        <f>IF(ADR_Data[[#This Row],[Age]]&lt;18,"&lt;18",IF(ADR_Data[[#This Row],[Age]]&lt;=40,"18-40",IF(ADR_Data[[#This Row],[Age]]&lt;=60,"41-60","&gt;60")))</f>
        <v>&gt;60</v>
      </c>
    </row>
    <row r="84" spans="1:16" x14ac:dyDescent="0.35">
      <c r="A84" t="s">
        <v>146</v>
      </c>
      <c r="B84">
        <v>36</v>
      </c>
      <c r="C84" t="s">
        <v>15</v>
      </c>
      <c r="D84" t="s">
        <v>42</v>
      </c>
      <c r="E84" t="s">
        <v>17</v>
      </c>
      <c r="F84" t="s">
        <v>43</v>
      </c>
      <c r="G84" t="s">
        <v>19</v>
      </c>
      <c r="H84" s="1">
        <v>46135</v>
      </c>
      <c r="I84" s="1">
        <v>46161</v>
      </c>
      <c r="J84">
        <v>14</v>
      </c>
      <c r="K84" t="s">
        <v>28</v>
      </c>
      <c r="L84" t="s">
        <v>40</v>
      </c>
      <c r="M84" t="s">
        <v>29</v>
      </c>
      <c r="N84">
        <v>26</v>
      </c>
      <c r="O84" t="str">
        <f t="shared" si="2"/>
        <v>Intermediate</v>
      </c>
      <c r="P84" t="str">
        <f>IF(ADR_Data[[#This Row],[Age]]&lt;18,"&lt;18",IF(ADR_Data[[#This Row],[Age]]&lt;=40,"18-40",IF(ADR_Data[[#This Row],[Age]]&lt;=60,"41-60","&gt;60")))</f>
        <v>18-40</v>
      </c>
    </row>
    <row r="85" spans="1:16" x14ac:dyDescent="0.35">
      <c r="A85" t="s">
        <v>147</v>
      </c>
      <c r="B85">
        <v>53</v>
      </c>
      <c r="C85" t="s">
        <v>31</v>
      </c>
      <c r="D85" t="s">
        <v>76</v>
      </c>
      <c r="E85" t="s">
        <v>38</v>
      </c>
      <c r="F85" t="s">
        <v>39</v>
      </c>
      <c r="G85" t="s">
        <v>27</v>
      </c>
      <c r="H85" s="1">
        <v>46156</v>
      </c>
      <c r="I85" s="1">
        <v>46161</v>
      </c>
      <c r="J85">
        <v>7</v>
      </c>
      <c r="K85" t="s">
        <v>28</v>
      </c>
      <c r="L85" t="s">
        <v>40</v>
      </c>
      <c r="M85" t="s">
        <v>49</v>
      </c>
      <c r="N85">
        <v>5</v>
      </c>
      <c r="O85" t="str">
        <f t="shared" si="2"/>
        <v>Early</v>
      </c>
      <c r="P85" t="str">
        <f>IF(ADR_Data[[#This Row],[Age]]&lt;18,"&lt;18",IF(ADR_Data[[#This Row],[Age]]&lt;=40,"18-40",IF(ADR_Data[[#This Row],[Age]]&lt;=60,"41-60","&gt;60")))</f>
        <v>41-60</v>
      </c>
    </row>
    <row r="86" spans="1:16" x14ac:dyDescent="0.35">
      <c r="A86" t="s">
        <v>148</v>
      </c>
      <c r="B86">
        <v>19</v>
      </c>
      <c r="C86" t="s">
        <v>15</v>
      </c>
      <c r="D86" t="s">
        <v>42</v>
      </c>
      <c r="E86" t="s">
        <v>68</v>
      </c>
      <c r="F86" t="s">
        <v>43</v>
      </c>
      <c r="G86" t="s">
        <v>27</v>
      </c>
      <c r="H86" s="1">
        <v>46123</v>
      </c>
      <c r="I86" s="1">
        <v>46134</v>
      </c>
      <c r="J86">
        <v>8</v>
      </c>
      <c r="K86" t="s">
        <v>28</v>
      </c>
      <c r="L86" t="s">
        <v>40</v>
      </c>
      <c r="M86" t="s">
        <v>49</v>
      </c>
      <c r="N86">
        <v>11</v>
      </c>
      <c r="O86" t="str">
        <f t="shared" si="2"/>
        <v>Intermediate</v>
      </c>
      <c r="P86" t="str">
        <f>IF(ADR_Data[[#This Row],[Age]]&lt;18,"&lt;18",IF(ADR_Data[[#This Row],[Age]]&lt;=40,"18-40",IF(ADR_Data[[#This Row],[Age]]&lt;=60,"41-60","&gt;60")))</f>
        <v>18-40</v>
      </c>
    </row>
    <row r="87" spans="1:16" x14ac:dyDescent="0.35">
      <c r="A87" t="s">
        <v>149</v>
      </c>
      <c r="B87">
        <v>66</v>
      </c>
      <c r="C87" t="s">
        <v>31</v>
      </c>
      <c r="D87" t="s">
        <v>60</v>
      </c>
      <c r="E87" t="s">
        <v>99</v>
      </c>
      <c r="F87" t="s">
        <v>62</v>
      </c>
      <c r="G87" t="s">
        <v>44</v>
      </c>
      <c r="H87" s="1">
        <v>46100</v>
      </c>
      <c r="I87" s="1">
        <v>46109</v>
      </c>
      <c r="J87">
        <v>2</v>
      </c>
      <c r="K87" t="s">
        <v>91</v>
      </c>
      <c r="L87" t="s">
        <v>21</v>
      </c>
      <c r="M87" t="s">
        <v>57</v>
      </c>
      <c r="N87">
        <v>9</v>
      </c>
      <c r="O87" t="str">
        <f t="shared" si="2"/>
        <v>Intermediate</v>
      </c>
      <c r="P87" t="str">
        <f>IF(ADR_Data[[#This Row],[Age]]&lt;18,"&lt;18",IF(ADR_Data[[#This Row],[Age]]&lt;=40,"18-40",IF(ADR_Data[[#This Row],[Age]]&lt;=60,"41-60","&gt;60")))</f>
        <v>&gt;60</v>
      </c>
    </row>
    <row r="88" spans="1:16" x14ac:dyDescent="0.35">
      <c r="A88" t="s">
        <v>150</v>
      </c>
      <c r="B88">
        <v>39</v>
      </c>
      <c r="C88" t="s">
        <v>15</v>
      </c>
      <c r="D88" t="s">
        <v>24</v>
      </c>
      <c r="E88" t="s">
        <v>131</v>
      </c>
      <c r="F88" t="s">
        <v>123</v>
      </c>
      <c r="G88" t="s">
        <v>44</v>
      </c>
      <c r="H88" s="1">
        <v>46094</v>
      </c>
      <c r="I88" s="1">
        <v>46108</v>
      </c>
      <c r="J88">
        <v>12</v>
      </c>
      <c r="K88" t="s">
        <v>28</v>
      </c>
      <c r="L88" t="s">
        <v>40</v>
      </c>
      <c r="M88" t="s">
        <v>29</v>
      </c>
      <c r="N88">
        <v>14</v>
      </c>
      <c r="O88" t="str">
        <f t="shared" si="2"/>
        <v>Intermediate</v>
      </c>
      <c r="P88" t="str">
        <f>IF(ADR_Data[[#This Row],[Age]]&lt;18,"&lt;18",IF(ADR_Data[[#This Row],[Age]]&lt;=40,"18-40",IF(ADR_Data[[#This Row],[Age]]&lt;=60,"41-60","&gt;60")))</f>
        <v>18-40</v>
      </c>
    </row>
    <row r="89" spans="1:16" x14ac:dyDescent="0.35">
      <c r="A89" t="s">
        <v>151</v>
      </c>
      <c r="B89">
        <v>36</v>
      </c>
      <c r="C89" t="s">
        <v>31</v>
      </c>
      <c r="D89" t="s">
        <v>60</v>
      </c>
      <c r="E89" t="s">
        <v>99</v>
      </c>
      <c r="F89" t="s">
        <v>100</v>
      </c>
      <c r="G89" t="s">
        <v>27</v>
      </c>
      <c r="H89" s="1">
        <v>46084</v>
      </c>
      <c r="I89" s="1">
        <v>46094</v>
      </c>
      <c r="J89">
        <v>9</v>
      </c>
      <c r="K89" t="s">
        <v>28</v>
      </c>
      <c r="L89" t="s">
        <v>40</v>
      </c>
      <c r="M89" t="s">
        <v>22</v>
      </c>
      <c r="N89">
        <v>10</v>
      </c>
      <c r="O89" t="str">
        <f t="shared" si="2"/>
        <v>Intermediate</v>
      </c>
      <c r="P89" t="str">
        <f>IF(ADR_Data[[#This Row],[Age]]&lt;18,"&lt;18",IF(ADR_Data[[#This Row],[Age]]&lt;=40,"18-40",IF(ADR_Data[[#This Row],[Age]]&lt;=60,"41-60","&gt;60")))</f>
        <v>18-40</v>
      </c>
    </row>
    <row r="90" spans="1:16" x14ac:dyDescent="0.35">
      <c r="A90" t="s">
        <v>152</v>
      </c>
      <c r="B90">
        <v>31</v>
      </c>
      <c r="C90" t="s">
        <v>15</v>
      </c>
      <c r="D90" t="s">
        <v>76</v>
      </c>
      <c r="E90" t="s">
        <v>38</v>
      </c>
      <c r="F90" t="s">
        <v>79</v>
      </c>
      <c r="G90" t="s">
        <v>19</v>
      </c>
      <c r="H90" s="1">
        <v>46119</v>
      </c>
      <c r="I90" s="1">
        <v>46120</v>
      </c>
      <c r="J90">
        <v>9</v>
      </c>
      <c r="K90" t="s">
        <v>28</v>
      </c>
      <c r="L90" t="s">
        <v>40</v>
      </c>
      <c r="M90" t="s">
        <v>49</v>
      </c>
      <c r="N90">
        <v>1</v>
      </c>
      <c r="O90" t="str">
        <f t="shared" si="2"/>
        <v>Early</v>
      </c>
      <c r="P90" t="str">
        <f>IF(ADR_Data[[#This Row],[Age]]&lt;18,"&lt;18",IF(ADR_Data[[#This Row],[Age]]&lt;=40,"18-40",IF(ADR_Data[[#This Row],[Age]]&lt;=60,"41-60","&gt;60")))</f>
        <v>18-40</v>
      </c>
    </row>
    <row r="91" spans="1:16" x14ac:dyDescent="0.35">
      <c r="A91" t="s">
        <v>153</v>
      </c>
      <c r="B91">
        <v>31</v>
      </c>
      <c r="C91" t="s">
        <v>31</v>
      </c>
      <c r="D91" t="s">
        <v>24</v>
      </c>
      <c r="E91" t="s">
        <v>25</v>
      </c>
      <c r="F91" t="s">
        <v>26</v>
      </c>
      <c r="G91" t="s">
        <v>27</v>
      </c>
      <c r="H91" s="1">
        <v>46061</v>
      </c>
      <c r="I91" s="1">
        <v>46064</v>
      </c>
      <c r="J91">
        <v>7</v>
      </c>
      <c r="K91" t="s">
        <v>35</v>
      </c>
      <c r="L91" t="s">
        <v>21</v>
      </c>
      <c r="M91" t="s">
        <v>29</v>
      </c>
      <c r="N91">
        <v>3</v>
      </c>
      <c r="O91" t="str">
        <f t="shared" si="2"/>
        <v>Early</v>
      </c>
      <c r="P91" t="str">
        <f>IF(ADR_Data[[#This Row],[Age]]&lt;18,"&lt;18",IF(ADR_Data[[#This Row],[Age]]&lt;=40,"18-40",IF(ADR_Data[[#This Row],[Age]]&lt;=60,"41-60","&gt;60")))</f>
        <v>18-40</v>
      </c>
    </row>
    <row r="92" spans="1:16" x14ac:dyDescent="0.35">
      <c r="A92" t="s">
        <v>154</v>
      </c>
      <c r="B92">
        <v>32</v>
      </c>
      <c r="C92" t="s">
        <v>31</v>
      </c>
      <c r="D92" t="s">
        <v>16</v>
      </c>
      <c r="E92" t="s">
        <v>17</v>
      </c>
      <c r="F92" t="s">
        <v>18</v>
      </c>
      <c r="G92" t="s">
        <v>19</v>
      </c>
      <c r="H92" s="1">
        <v>46060</v>
      </c>
      <c r="I92" s="1">
        <v>46065</v>
      </c>
      <c r="J92">
        <v>11</v>
      </c>
      <c r="K92" t="s">
        <v>20</v>
      </c>
      <c r="L92" t="s">
        <v>21</v>
      </c>
      <c r="M92" t="s">
        <v>29</v>
      </c>
      <c r="N92">
        <v>5</v>
      </c>
      <c r="O92" t="str">
        <f t="shared" si="2"/>
        <v>Early</v>
      </c>
      <c r="P92" t="str">
        <f>IF(ADR_Data[[#This Row],[Age]]&lt;18,"&lt;18",IF(ADR_Data[[#This Row],[Age]]&lt;=40,"18-40",IF(ADR_Data[[#This Row],[Age]]&lt;=60,"41-60","&gt;60")))</f>
        <v>18-40</v>
      </c>
    </row>
    <row r="93" spans="1:16" x14ac:dyDescent="0.35">
      <c r="A93" t="s">
        <v>155</v>
      </c>
      <c r="B93">
        <v>19</v>
      </c>
      <c r="C93" t="s">
        <v>15</v>
      </c>
      <c r="D93" t="s">
        <v>16</v>
      </c>
      <c r="E93" t="s">
        <v>17</v>
      </c>
      <c r="F93" t="s">
        <v>47</v>
      </c>
      <c r="G93" t="s">
        <v>27</v>
      </c>
      <c r="H93" s="1">
        <v>46096</v>
      </c>
      <c r="I93" s="1">
        <v>46109</v>
      </c>
      <c r="J93">
        <v>4</v>
      </c>
      <c r="K93" t="s">
        <v>28</v>
      </c>
      <c r="L93" t="s">
        <v>21</v>
      </c>
      <c r="M93" t="s">
        <v>49</v>
      </c>
      <c r="N93">
        <v>13</v>
      </c>
      <c r="O93" t="str">
        <f t="shared" si="2"/>
        <v>Intermediate</v>
      </c>
      <c r="P93" t="str">
        <f>IF(ADR_Data[[#This Row],[Age]]&lt;18,"&lt;18",IF(ADR_Data[[#This Row],[Age]]&lt;=40,"18-40",IF(ADR_Data[[#This Row],[Age]]&lt;=60,"41-60","&gt;60")))</f>
        <v>18-40</v>
      </c>
    </row>
    <row r="94" spans="1:16" x14ac:dyDescent="0.35">
      <c r="A94" t="s">
        <v>156</v>
      </c>
      <c r="B94">
        <v>46</v>
      </c>
      <c r="C94" t="s">
        <v>15</v>
      </c>
      <c r="D94" t="s">
        <v>16</v>
      </c>
      <c r="E94" t="s">
        <v>17</v>
      </c>
      <c r="F94" t="s">
        <v>18</v>
      </c>
      <c r="G94" t="s">
        <v>27</v>
      </c>
      <c r="H94" s="1">
        <v>46069</v>
      </c>
      <c r="I94" s="1">
        <v>46071</v>
      </c>
      <c r="J94">
        <v>11</v>
      </c>
      <c r="K94" t="s">
        <v>35</v>
      </c>
      <c r="L94" t="s">
        <v>40</v>
      </c>
      <c r="M94" t="s">
        <v>22</v>
      </c>
      <c r="N94">
        <v>2</v>
      </c>
      <c r="O94" t="str">
        <f t="shared" si="2"/>
        <v>Early</v>
      </c>
      <c r="P94" t="str">
        <f>IF(ADR_Data[[#This Row],[Age]]&lt;18,"&lt;18",IF(ADR_Data[[#This Row],[Age]]&lt;=40,"18-40",IF(ADR_Data[[#This Row],[Age]]&lt;=60,"41-60","&gt;60")))</f>
        <v>41-60</v>
      </c>
    </row>
    <row r="95" spans="1:16" x14ac:dyDescent="0.35">
      <c r="A95" t="s">
        <v>157</v>
      </c>
      <c r="B95">
        <v>43</v>
      </c>
      <c r="C95" t="s">
        <v>31</v>
      </c>
      <c r="D95" t="s">
        <v>76</v>
      </c>
      <c r="E95" t="s">
        <v>38</v>
      </c>
      <c r="F95" t="s">
        <v>39</v>
      </c>
      <c r="G95" t="s">
        <v>27</v>
      </c>
      <c r="H95" s="1">
        <v>46170</v>
      </c>
      <c r="I95" s="1">
        <v>46178</v>
      </c>
      <c r="J95">
        <v>6</v>
      </c>
      <c r="K95" t="s">
        <v>28</v>
      </c>
      <c r="L95" t="s">
        <v>40</v>
      </c>
      <c r="M95" t="s">
        <v>22</v>
      </c>
      <c r="N95">
        <v>8</v>
      </c>
      <c r="O95" t="str">
        <f t="shared" si="2"/>
        <v>Intermediate</v>
      </c>
      <c r="P95" t="str">
        <f>IF(ADR_Data[[#This Row],[Age]]&lt;18,"&lt;18",IF(ADR_Data[[#This Row],[Age]]&lt;=40,"18-40",IF(ADR_Data[[#This Row],[Age]]&lt;=60,"41-60","&gt;60")))</f>
        <v>41-60</v>
      </c>
    </row>
    <row r="96" spans="1:16" x14ac:dyDescent="0.35">
      <c r="A96" t="s">
        <v>158</v>
      </c>
      <c r="B96">
        <v>63</v>
      </c>
      <c r="C96" t="s">
        <v>31</v>
      </c>
      <c r="D96" t="s">
        <v>32</v>
      </c>
      <c r="E96" t="s">
        <v>33</v>
      </c>
      <c r="F96" t="s">
        <v>66</v>
      </c>
      <c r="G96" t="s">
        <v>27</v>
      </c>
      <c r="H96" s="1">
        <v>46163</v>
      </c>
      <c r="I96" s="1">
        <v>46188</v>
      </c>
      <c r="J96">
        <v>1</v>
      </c>
      <c r="K96" t="s">
        <v>35</v>
      </c>
      <c r="L96" t="s">
        <v>40</v>
      </c>
      <c r="M96" t="s">
        <v>52</v>
      </c>
      <c r="N96">
        <v>25</v>
      </c>
      <c r="O96" t="str">
        <f t="shared" si="2"/>
        <v>Intermediate</v>
      </c>
      <c r="P96" t="str">
        <f>IF(ADR_Data[[#This Row],[Age]]&lt;18,"&lt;18",IF(ADR_Data[[#This Row],[Age]]&lt;=40,"18-40",IF(ADR_Data[[#This Row],[Age]]&lt;=60,"41-60","&gt;60")))</f>
        <v>&gt;60</v>
      </c>
    </row>
    <row r="97" spans="1:16" x14ac:dyDescent="0.35">
      <c r="A97" t="s">
        <v>159</v>
      </c>
      <c r="B97">
        <v>61</v>
      </c>
      <c r="C97" t="s">
        <v>15</v>
      </c>
      <c r="D97" t="s">
        <v>24</v>
      </c>
      <c r="E97" t="s">
        <v>25</v>
      </c>
      <c r="F97" t="s">
        <v>18</v>
      </c>
      <c r="G97" t="s">
        <v>44</v>
      </c>
      <c r="H97" s="1">
        <v>46155</v>
      </c>
      <c r="I97" s="1">
        <v>46165</v>
      </c>
      <c r="J97">
        <v>1</v>
      </c>
      <c r="K97" t="s">
        <v>91</v>
      </c>
      <c r="L97" t="s">
        <v>40</v>
      </c>
      <c r="M97" t="s">
        <v>22</v>
      </c>
      <c r="N97">
        <v>10</v>
      </c>
      <c r="O97" t="str">
        <f t="shared" si="2"/>
        <v>Intermediate</v>
      </c>
      <c r="P97" t="str">
        <f>IF(ADR_Data[[#This Row],[Age]]&lt;18,"&lt;18",IF(ADR_Data[[#This Row],[Age]]&lt;=40,"18-40",IF(ADR_Data[[#This Row],[Age]]&lt;=60,"41-60","&gt;60")))</f>
        <v>&gt;60</v>
      </c>
    </row>
    <row r="98" spans="1:16" x14ac:dyDescent="0.35">
      <c r="A98" t="s">
        <v>160</v>
      </c>
      <c r="B98">
        <v>46</v>
      </c>
      <c r="C98" t="s">
        <v>15</v>
      </c>
      <c r="D98" t="s">
        <v>24</v>
      </c>
      <c r="E98" t="s">
        <v>131</v>
      </c>
      <c r="F98" t="s">
        <v>26</v>
      </c>
      <c r="G98" t="s">
        <v>19</v>
      </c>
      <c r="H98" s="1">
        <v>46033</v>
      </c>
      <c r="I98" s="1">
        <v>46038</v>
      </c>
      <c r="J98">
        <v>5</v>
      </c>
      <c r="K98" t="s">
        <v>28</v>
      </c>
      <c r="L98" t="s">
        <v>40</v>
      </c>
      <c r="M98" t="s">
        <v>29</v>
      </c>
      <c r="N98">
        <v>5</v>
      </c>
      <c r="O98" t="str">
        <f t="shared" ref="O98:O121" si="3">IF(N98&lt;=7,"Early",IF(N98&lt;=30,"Intermediate","Late"))</f>
        <v>Early</v>
      </c>
      <c r="P98" t="str">
        <f>IF(ADR_Data[[#This Row],[Age]]&lt;18,"&lt;18",IF(ADR_Data[[#This Row],[Age]]&lt;=40,"18-40",IF(ADR_Data[[#This Row],[Age]]&lt;=60,"41-60","&gt;60")))</f>
        <v>41-60</v>
      </c>
    </row>
    <row r="99" spans="1:16" x14ac:dyDescent="0.35">
      <c r="A99" t="s">
        <v>161</v>
      </c>
      <c r="B99">
        <v>74</v>
      </c>
      <c r="C99" t="s">
        <v>31</v>
      </c>
      <c r="D99" t="s">
        <v>37</v>
      </c>
      <c r="E99" t="s">
        <v>38</v>
      </c>
      <c r="F99" t="s">
        <v>18</v>
      </c>
      <c r="G99" t="s">
        <v>27</v>
      </c>
      <c r="H99" s="1">
        <v>46077</v>
      </c>
      <c r="I99" s="1">
        <v>46098</v>
      </c>
      <c r="J99">
        <v>9</v>
      </c>
      <c r="K99" t="s">
        <v>28</v>
      </c>
      <c r="L99" t="s">
        <v>21</v>
      </c>
      <c r="M99" t="s">
        <v>57</v>
      </c>
      <c r="N99">
        <v>21</v>
      </c>
      <c r="O99" t="str">
        <f t="shared" si="3"/>
        <v>Intermediate</v>
      </c>
      <c r="P99" t="str">
        <f>IF(ADR_Data[[#This Row],[Age]]&lt;18,"&lt;18",IF(ADR_Data[[#This Row],[Age]]&lt;=40,"18-40",IF(ADR_Data[[#This Row],[Age]]&lt;=60,"41-60","&gt;60")))</f>
        <v>&gt;60</v>
      </c>
    </row>
    <row r="100" spans="1:16" x14ac:dyDescent="0.35">
      <c r="A100" t="s">
        <v>162</v>
      </c>
      <c r="B100">
        <v>70</v>
      </c>
      <c r="C100" t="s">
        <v>15</v>
      </c>
      <c r="D100" t="s">
        <v>42</v>
      </c>
      <c r="E100" t="s">
        <v>68</v>
      </c>
      <c r="F100" t="s">
        <v>56</v>
      </c>
      <c r="G100" t="s">
        <v>19</v>
      </c>
      <c r="H100" s="1">
        <v>46085</v>
      </c>
      <c r="I100" s="1">
        <v>46096</v>
      </c>
      <c r="J100">
        <v>6</v>
      </c>
      <c r="K100" t="s">
        <v>28</v>
      </c>
      <c r="L100" t="s">
        <v>40</v>
      </c>
      <c r="M100" t="s">
        <v>22</v>
      </c>
      <c r="N100">
        <v>11</v>
      </c>
      <c r="O100" t="str">
        <f t="shared" si="3"/>
        <v>Intermediate</v>
      </c>
      <c r="P100" t="str">
        <f>IF(ADR_Data[[#This Row],[Age]]&lt;18,"&lt;18",IF(ADR_Data[[#This Row],[Age]]&lt;=40,"18-40",IF(ADR_Data[[#This Row],[Age]]&lt;=60,"41-60","&gt;60")))</f>
        <v>&gt;60</v>
      </c>
    </row>
    <row r="101" spans="1:16" x14ac:dyDescent="0.35">
      <c r="A101" t="s">
        <v>163</v>
      </c>
      <c r="B101">
        <v>44</v>
      </c>
      <c r="C101" t="s">
        <v>31</v>
      </c>
      <c r="D101" t="s">
        <v>24</v>
      </c>
      <c r="E101" t="s">
        <v>131</v>
      </c>
      <c r="F101" t="s">
        <v>26</v>
      </c>
      <c r="G101" t="s">
        <v>44</v>
      </c>
      <c r="H101" s="1">
        <v>46130</v>
      </c>
      <c r="I101" s="1">
        <v>46154</v>
      </c>
      <c r="J101">
        <v>9</v>
      </c>
      <c r="K101" t="s">
        <v>91</v>
      </c>
      <c r="L101" t="s">
        <v>21</v>
      </c>
      <c r="M101" t="s">
        <v>29</v>
      </c>
      <c r="N101">
        <v>24</v>
      </c>
      <c r="O101" t="str">
        <f t="shared" si="3"/>
        <v>Intermediate</v>
      </c>
      <c r="P101" t="str">
        <f>IF(ADR_Data[[#This Row],[Age]]&lt;18,"&lt;18",IF(ADR_Data[[#This Row],[Age]]&lt;=40,"18-40",IF(ADR_Data[[#This Row],[Age]]&lt;=60,"41-60","&gt;60")))</f>
        <v>41-60</v>
      </c>
    </row>
    <row r="102" spans="1:16" x14ac:dyDescent="0.35">
      <c r="A102" t="s">
        <v>164</v>
      </c>
      <c r="B102">
        <v>50</v>
      </c>
      <c r="C102" t="s">
        <v>31</v>
      </c>
      <c r="D102" t="s">
        <v>16</v>
      </c>
      <c r="E102" t="s">
        <v>17</v>
      </c>
      <c r="F102" t="s">
        <v>47</v>
      </c>
      <c r="G102" t="s">
        <v>27</v>
      </c>
      <c r="H102" s="1">
        <v>46172</v>
      </c>
      <c r="I102" s="1">
        <v>46193</v>
      </c>
      <c r="J102">
        <v>1</v>
      </c>
      <c r="K102" t="s">
        <v>35</v>
      </c>
      <c r="L102" t="s">
        <v>40</v>
      </c>
      <c r="M102" t="s">
        <v>22</v>
      </c>
      <c r="N102">
        <v>21</v>
      </c>
      <c r="O102" t="str">
        <f t="shared" si="3"/>
        <v>Intermediate</v>
      </c>
      <c r="P102" t="str">
        <f>IF(ADR_Data[[#This Row],[Age]]&lt;18,"&lt;18",IF(ADR_Data[[#This Row],[Age]]&lt;=40,"18-40",IF(ADR_Data[[#This Row],[Age]]&lt;=60,"41-60","&gt;60")))</f>
        <v>41-60</v>
      </c>
    </row>
    <row r="103" spans="1:16" x14ac:dyDescent="0.35">
      <c r="A103" t="s">
        <v>165</v>
      </c>
      <c r="B103">
        <v>37</v>
      </c>
      <c r="C103" t="s">
        <v>15</v>
      </c>
      <c r="D103" t="s">
        <v>60</v>
      </c>
      <c r="E103" t="s">
        <v>99</v>
      </c>
      <c r="F103" t="s">
        <v>100</v>
      </c>
      <c r="G103" t="s">
        <v>44</v>
      </c>
      <c r="H103" s="1">
        <v>46085</v>
      </c>
      <c r="I103" s="1">
        <v>46092</v>
      </c>
      <c r="J103">
        <v>1</v>
      </c>
      <c r="K103" t="s">
        <v>20</v>
      </c>
      <c r="L103" t="s">
        <v>21</v>
      </c>
      <c r="M103" t="s">
        <v>22</v>
      </c>
      <c r="N103">
        <v>7</v>
      </c>
      <c r="O103" t="str">
        <f t="shared" si="3"/>
        <v>Early</v>
      </c>
      <c r="P103" t="str">
        <f>IF(ADR_Data[[#This Row],[Age]]&lt;18,"&lt;18",IF(ADR_Data[[#This Row],[Age]]&lt;=40,"18-40",IF(ADR_Data[[#This Row],[Age]]&lt;=60,"41-60","&gt;60")))</f>
        <v>18-40</v>
      </c>
    </row>
    <row r="104" spans="1:16" x14ac:dyDescent="0.35">
      <c r="A104" t="s">
        <v>166</v>
      </c>
      <c r="B104">
        <v>73</v>
      </c>
      <c r="C104" t="s">
        <v>31</v>
      </c>
      <c r="D104" t="s">
        <v>60</v>
      </c>
      <c r="E104" t="s">
        <v>99</v>
      </c>
      <c r="F104" t="s">
        <v>100</v>
      </c>
      <c r="G104" t="s">
        <v>19</v>
      </c>
      <c r="H104" s="1">
        <v>46051</v>
      </c>
      <c r="I104" s="1">
        <v>46081</v>
      </c>
      <c r="J104">
        <v>8</v>
      </c>
      <c r="K104" t="s">
        <v>20</v>
      </c>
      <c r="L104" t="s">
        <v>21</v>
      </c>
      <c r="M104" t="s">
        <v>57</v>
      </c>
      <c r="N104">
        <v>30</v>
      </c>
      <c r="O104" t="str">
        <f t="shared" si="3"/>
        <v>Intermediate</v>
      </c>
      <c r="P104" t="str">
        <f>IF(ADR_Data[[#This Row],[Age]]&lt;18,"&lt;18",IF(ADR_Data[[#This Row],[Age]]&lt;=40,"18-40",IF(ADR_Data[[#This Row],[Age]]&lt;=60,"41-60","&gt;60")))</f>
        <v>&gt;60</v>
      </c>
    </row>
    <row r="105" spans="1:16" x14ac:dyDescent="0.35">
      <c r="A105" t="s">
        <v>167</v>
      </c>
      <c r="B105">
        <v>64</v>
      </c>
      <c r="C105" t="s">
        <v>15</v>
      </c>
      <c r="D105" t="s">
        <v>71</v>
      </c>
      <c r="E105" t="s">
        <v>38</v>
      </c>
      <c r="F105" t="s">
        <v>39</v>
      </c>
      <c r="G105" t="s">
        <v>27</v>
      </c>
      <c r="H105" s="1">
        <v>46135</v>
      </c>
      <c r="I105" s="1">
        <v>46154</v>
      </c>
      <c r="J105">
        <v>4</v>
      </c>
      <c r="K105" t="s">
        <v>28</v>
      </c>
      <c r="L105" t="s">
        <v>21</v>
      </c>
      <c r="M105" t="s">
        <v>29</v>
      </c>
      <c r="N105">
        <v>19</v>
      </c>
      <c r="O105" t="str">
        <f t="shared" si="3"/>
        <v>Intermediate</v>
      </c>
      <c r="P105" t="str">
        <f>IF(ADR_Data[[#This Row],[Age]]&lt;18,"&lt;18",IF(ADR_Data[[#This Row],[Age]]&lt;=40,"18-40",IF(ADR_Data[[#This Row],[Age]]&lt;=60,"41-60","&gt;60")))</f>
        <v>&gt;60</v>
      </c>
    </row>
    <row r="106" spans="1:16" x14ac:dyDescent="0.35">
      <c r="A106" t="s">
        <v>168</v>
      </c>
      <c r="B106">
        <v>20</v>
      </c>
      <c r="C106" t="s">
        <v>15</v>
      </c>
      <c r="D106" t="s">
        <v>71</v>
      </c>
      <c r="E106" t="s">
        <v>38</v>
      </c>
      <c r="F106" t="s">
        <v>73</v>
      </c>
      <c r="G106" t="s">
        <v>27</v>
      </c>
      <c r="H106" s="1">
        <v>46132</v>
      </c>
      <c r="I106" s="1">
        <v>46155</v>
      </c>
      <c r="J106">
        <v>7</v>
      </c>
      <c r="K106" t="s">
        <v>28</v>
      </c>
      <c r="L106" t="s">
        <v>40</v>
      </c>
      <c r="M106" t="s">
        <v>49</v>
      </c>
      <c r="N106">
        <v>23</v>
      </c>
      <c r="O106" t="str">
        <f t="shared" si="3"/>
        <v>Intermediate</v>
      </c>
      <c r="P106" t="str">
        <f>IF(ADR_Data[[#This Row],[Age]]&lt;18,"&lt;18",IF(ADR_Data[[#This Row],[Age]]&lt;=40,"18-40",IF(ADR_Data[[#This Row],[Age]]&lt;=60,"41-60","&gt;60")))</f>
        <v>18-40</v>
      </c>
    </row>
    <row r="107" spans="1:16" x14ac:dyDescent="0.35">
      <c r="A107" t="s">
        <v>169</v>
      </c>
      <c r="B107">
        <v>74</v>
      </c>
      <c r="C107" t="s">
        <v>31</v>
      </c>
      <c r="D107" t="s">
        <v>76</v>
      </c>
      <c r="E107" t="s">
        <v>78</v>
      </c>
      <c r="F107" t="s">
        <v>79</v>
      </c>
      <c r="G107" t="s">
        <v>27</v>
      </c>
      <c r="H107" s="1">
        <v>46094</v>
      </c>
      <c r="I107" s="1">
        <v>46099</v>
      </c>
      <c r="J107">
        <v>3</v>
      </c>
      <c r="K107" t="s">
        <v>35</v>
      </c>
      <c r="L107" t="s">
        <v>40</v>
      </c>
      <c r="M107" t="s">
        <v>49</v>
      </c>
      <c r="N107">
        <v>5</v>
      </c>
      <c r="O107" t="str">
        <f t="shared" si="3"/>
        <v>Early</v>
      </c>
      <c r="P107" t="str">
        <f>IF(ADR_Data[[#This Row],[Age]]&lt;18,"&lt;18",IF(ADR_Data[[#This Row],[Age]]&lt;=40,"18-40",IF(ADR_Data[[#This Row],[Age]]&lt;=60,"41-60","&gt;60")))</f>
        <v>&gt;60</v>
      </c>
    </row>
    <row r="108" spans="1:16" x14ac:dyDescent="0.35">
      <c r="A108" t="s">
        <v>170</v>
      </c>
      <c r="B108">
        <v>51</v>
      </c>
      <c r="C108" t="s">
        <v>31</v>
      </c>
      <c r="D108" t="s">
        <v>24</v>
      </c>
      <c r="E108" t="s">
        <v>25</v>
      </c>
      <c r="F108" t="s">
        <v>26</v>
      </c>
      <c r="G108" t="s">
        <v>19</v>
      </c>
      <c r="H108" s="1">
        <v>46100</v>
      </c>
      <c r="I108" s="1">
        <v>46111</v>
      </c>
      <c r="J108">
        <v>4</v>
      </c>
      <c r="K108" t="s">
        <v>28</v>
      </c>
      <c r="L108" t="s">
        <v>21</v>
      </c>
      <c r="M108" t="s">
        <v>49</v>
      </c>
      <c r="N108">
        <v>11</v>
      </c>
      <c r="O108" t="str">
        <f t="shared" si="3"/>
        <v>Intermediate</v>
      </c>
      <c r="P108" t="str">
        <f>IF(ADR_Data[[#This Row],[Age]]&lt;18,"&lt;18",IF(ADR_Data[[#This Row],[Age]]&lt;=40,"18-40",IF(ADR_Data[[#This Row],[Age]]&lt;=60,"41-60","&gt;60")))</f>
        <v>41-60</v>
      </c>
    </row>
    <row r="109" spans="1:16" x14ac:dyDescent="0.35">
      <c r="A109" t="s">
        <v>171</v>
      </c>
      <c r="B109">
        <v>72</v>
      </c>
      <c r="C109" t="s">
        <v>15</v>
      </c>
      <c r="D109" t="s">
        <v>71</v>
      </c>
      <c r="E109" t="s">
        <v>72</v>
      </c>
      <c r="F109" t="s">
        <v>66</v>
      </c>
      <c r="G109" t="s">
        <v>27</v>
      </c>
      <c r="H109" s="1">
        <v>46096</v>
      </c>
      <c r="I109" s="1">
        <v>46117</v>
      </c>
      <c r="J109">
        <v>3</v>
      </c>
      <c r="K109" t="s">
        <v>28</v>
      </c>
      <c r="L109" t="s">
        <v>40</v>
      </c>
      <c r="M109" t="s">
        <v>52</v>
      </c>
      <c r="N109">
        <v>21</v>
      </c>
      <c r="O109" t="str">
        <f t="shared" si="3"/>
        <v>Intermediate</v>
      </c>
      <c r="P109" t="str">
        <f>IF(ADR_Data[[#This Row],[Age]]&lt;18,"&lt;18",IF(ADR_Data[[#This Row],[Age]]&lt;=40,"18-40",IF(ADR_Data[[#This Row],[Age]]&lt;=60,"41-60","&gt;60")))</f>
        <v>&gt;60</v>
      </c>
    </row>
    <row r="110" spans="1:16" x14ac:dyDescent="0.35">
      <c r="A110" t="s">
        <v>172</v>
      </c>
      <c r="B110">
        <v>35</v>
      </c>
      <c r="C110" t="s">
        <v>15</v>
      </c>
      <c r="D110" t="s">
        <v>42</v>
      </c>
      <c r="E110" t="s">
        <v>68</v>
      </c>
      <c r="F110" t="s">
        <v>18</v>
      </c>
      <c r="G110" t="s">
        <v>19</v>
      </c>
      <c r="H110" s="1">
        <v>46170</v>
      </c>
      <c r="I110" s="1">
        <v>46172</v>
      </c>
      <c r="J110">
        <v>3</v>
      </c>
      <c r="K110" t="s">
        <v>20</v>
      </c>
      <c r="L110" t="s">
        <v>21</v>
      </c>
      <c r="M110" t="s">
        <v>57</v>
      </c>
      <c r="N110">
        <v>2</v>
      </c>
      <c r="O110" t="str">
        <f t="shared" si="3"/>
        <v>Early</v>
      </c>
      <c r="P110" t="str">
        <f>IF(ADR_Data[[#This Row],[Age]]&lt;18,"&lt;18",IF(ADR_Data[[#This Row],[Age]]&lt;=40,"18-40",IF(ADR_Data[[#This Row],[Age]]&lt;=60,"41-60","&gt;60")))</f>
        <v>18-40</v>
      </c>
    </row>
    <row r="111" spans="1:16" x14ac:dyDescent="0.35">
      <c r="A111" t="s">
        <v>173</v>
      </c>
      <c r="B111">
        <v>54</v>
      </c>
      <c r="C111" t="s">
        <v>15</v>
      </c>
      <c r="D111" t="s">
        <v>24</v>
      </c>
      <c r="E111" t="s">
        <v>25</v>
      </c>
      <c r="F111" t="s">
        <v>18</v>
      </c>
      <c r="G111" t="s">
        <v>19</v>
      </c>
      <c r="H111" s="1">
        <v>46159</v>
      </c>
      <c r="I111" s="1">
        <v>46179</v>
      </c>
      <c r="J111">
        <v>10</v>
      </c>
      <c r="K111" t="s">
        <v>28</v>
      </c>
      <c r="L111" t="s">
        <v>40</v>
      </c>
      <c r="M111" t="s">
        <v>29</v>
      </c>
      <c r="N111">
        <v>20</v>
      </c>
      <c r="O111" t="str">
        <f t="shared" si="3"/>
        <v>Intermediate</v>
      </c>
      <c r="P111" t="str">
        <f>IF(ADR_Data[[#This Row],[Age]]&lt;18,"&lt;18",IF(ADR_Data[[#This Row],[Age]]&lt;=40,"18-40",IF(ADR_Data[[#This Row],[Age]]&lt;=60,"41-60","&gt;60")))</f>
        <v>41-60</v>
      </c>
    </row>
    <row r="112" spans="1:16" x14ac:dyDescent="0.35">
      <c r="A112" t="s">
        <v>174</v>
      </c>
      <c r="B112">
        <v>47</v>
      </c>
      <c r="C112" t="s">
        <v>15</v>
      </c>
      <c r="D112" t="s">
        <v>76</v>
      </c>
      <c r="E112" t="s">
        <v>78</v>
      </c>
      <c r="F112" t="s">
        <v>39</v>
      </c>
      <c r="G112" t="s">
        <v>27</v>
      </c>
      <c r="H112" s="1">
        <v>46150</v>
      </c>
      <c r="I112" s="1">
        <v>46169</v>
      </c>
      <c r="J112">
        <v>1</v>
      </c>
      <c r="K112" t="s">
        <v>28</v>
      </c>
      <c r="L112" t="s">
        <v>40</v>
      </c>
      <c r="M112" t="s">
        <v>57</v>
      </c>
      <c r="N112">
        <v>19</v>
      </c>
      <c r="O112" t="str">
        <f t="shared" si="3"/>
        <v>Intermediate</v>
      </c>
      <c r="P112" t="str">
        <f>IF(ADR_Data[[#This Row],[Age]]&lt;18,"&lt;18",IF(ADR_Data[[#This Row],[Age]]&lt;=40,"18-40",IF(ADR_Data[[#This Row],[Age]]&lt;=60,"41-60","&gt;60")))</f>
        <v>41-60</v>
      </c>
    </row>
    <row r="113" spans="1:16" x14ac:dyDescent="0.35">
      <c r="A113" t="s">
        <v>175</v>
      </c>
      <c r="B113">
        <v>42</v>
      </c>
      <c r="C113" t="s">
        <v>31</v>
      </c>
      <c r="D113" t="s">
        <v>42</v>
      </c>
      <c r="E113" t="s">
        <v>17</v>
      </c>
      <c r="F113" t="s">
        <v>56</v>
      </c>
      <c r="G113" t="s">
        <v>44</v>
      </c>
      <c r="H113" s="1">
        <v>46044</v>
      </c>
      <c r="I113" s="1">
        <v>46070</v>
      </c>
      <c r="J113">
        <v>13</v>
      </c>
      <c r="K113" t="s">
        <v>20</v>
      </c>
      <c r="L113" t="s">
        <v>40</v>
      </c>
      <c r="M113" t="s">
        <v>57</v>
      </c>
      <c r="N113">
        <v>26</v>
      </c>
      <c r="O113" t="str">
        <f t="shared" si="3"/>
        <v>Intermediate</v>
      </c>
      <c r="P113" t="str">
        <f>IF(ADR_Data[[#This Row],[Age]]&lt;18,"&lt;18",IF(ADR_Data[[#This Row],[Age]]&lt;=40,"18-40",IF(ADR_Data[[#This Row],[Age]]&lt;=60,"41-60","&gt;60")))</f>
        <v>41-60</v>
      </c>
    </row>
    <row r="114" spans="1:16" x14ac:dyDescent="0.35">
      <c r="A114" t="s">
        <v>176</v>
      </c>
      <c r="B114">
        <v>23</v>
      </c>
      <c r="C114" t="s">
        <v>15</v>
      </c>
      <c r="D114" t="s">
        <v>24</v>
      </c>
      <c r="E114" t="s">
        <v>131</v>
      </c>
      <c r="F114" t="s">
        <v>26</v>
      </c>
      <c r="G114" t="s">
        <v>19</v>
      </c>
      <c r="H114" s="1">
        <v>46064</v>
      </c>
      <c r="I114" s="1">
        <v>46066</v>
      </c>
      <c r="J114">
        <v>1</v>
      </c>
      <c r="K114" t="s">
        <v>28</v>
      </c>
      <c r="L114" t="s">
        <v>40</v>
      </c>
      <c r="M114" t="s">
        <v>57</v>
      </c>
      <c r="N114">
        <v>2</v>
      </c>
      <c r="O114" t="str">
        <f t="shared" si="3"/>
        <v>Early</v>
      </c>
      <c r="P114" t="str">
        <f>IF(ADR_Data[[#This Row],[Age]]&lt;18,"&lt;18",IF(ADR_Data[[#This Row],[Age]]&lt;=40,"18-40",IF(ADR_Data[[#This Row],[Age]]&lt;=60,"41-60","&gt;60")))</f>
        <v>18-40</v>
      </c>
    </row>
    <row r="115" spans="1:16" x14ac:dyDescent="0.35">
      <c r="A115" t="s">
        <v>177</v>
      </c>
      <c r="B115">
        <v>40</v>
      </c>
      <c r="C115" t="s">
        <v>31</v>
      </c>
      <c r="D115" t="s">
        <v>71</v>
      </c>
      <c r="E115" t="s">
        <v>38</v>
      </c>
      <c r="F115" t="s">
        <v>39</v>
      </c>
      <c r="G115" t="s">
        <v>44</v>
      </c>
      <c r="H115" s="1">
        <v>46049</v>
      </c>
      <c r="I115" s="1">
        <v>46076</v>
      </c>
      <c r="J115">
        <v>8</v>
      </c>
      <c r="K115" t="s">
        <v>28</v>
      </c>
      <c r="L115" t="s">
        <v>40</v>
      </c>
      <c r="M115" t="s">
        <v>52</v>
      </c>
      <c r="N115">
        <v>27</v>
      </c>
      <c r="O115" t="str">
        <f t="shared" si="3"/>
        <v>Intermediate</v>
      </c>
      <c r="P115" t="str">
        <f>IF(ADR_Data[[#This Row],[Age]]&lt;18,"&lt;18",IF(ADR_Data[[#This Row],[Age]]&lt;=40,"18-40",IF(ADR_Data[[#This Row],[Age]]&lt;=60,"41-60","&gt;60")))</f>
        <v>18-40</v>
      </c>
    </row>
    <row r="116" spans="1:16" x14ac:dyDescent="0.35">
      <c r="A116" t="s">
        <v>178</v>
      </c>
      <c r="B116">
        <v>24</v>
      </c>
      <c r="C116" t="s">
        <v>15</v>
      </c>
      <c r="D116" t="s">
        <v>16</v>
      </c>
      <c r="E116" t="s">
        <v>17</v>
      </c>
      <c r="F116" t="s">
        <v>47</v>
      </c>
      <c r="G116" t="s">
        <v>27</v>
      </c>
      <c r="H116" s="1">
        <v>46144</v>
      </c>
      <c r="I116" s="1">
        <v>46172</v>
      </c>
      <c r="J116">
        <v>6</v>
      </c>
      <c r="K116" t="s">
        <v>35</v>
      </c>
      <c r="L116" t="s">
        <v>21</v>
      </c>
      <c r="M116" t="s">
        <v>29</v>
      </c>
      <c r="N116">
        <v>28</v>
      </c>
      <c r="O116" t="str">
        <f t="shared" si="3"/>
        <v>Intermediate</v>
      </c>
      <c r="P116" t="str">
        <f>IF(ADR_Data[[#This Row],[Age]]&lt;18,"&lt;18",IF(ADR_Data[[#This Row],[Age]]&lt;=40,"18-40",IF(ADR_Data[[#This Row],[Age]]&lt;=60,"41-60","&gt;60")))</f>
        <v>18-40</v>
      </c>
    </row>
    <row r="117" spans="1:16" x14ac:dyDescent="0.35">
      <c r="A117" t="s">
        <v>179</v>
      </c>
      <c r="B117">
        <v>68</v>
      </c>
      <c r="C117" t="s">
        <v>15</v>
      </c>
      <c r="D117" t="s">
        <v>16</v>
      </c>
      <c r="E117" t="s">
        <v>17</v>
      </c>
      <c r="F117" t="s">
        <v>18</v>
      </c>
      <c r="G117" t="s">
        <v>27</v>
      </c>
      <c r="H117" s="1">
        <v>46033</v>
      </c>
      <c r="I117" s="1">
        <v>46060</v>
      </c>
      <c r="J117">
        <v>7</v>
      </c>
      <c r="K117" t="s">
        <v>35</v>
      </c>
      <c r="L117" t="s">
        <v>40</v>
      </c>
      <c r="M117" t="s">
        <v>49</v>
      </c>
      <c r="N117">
        <v>27</v>
      </c>
      <c r="O117" t="str">
        <f t="shared" si="3"/>
        <v>Intermediate</v>
      </c>
      <c r="P117" t="str">
        <f>IF(ADR_Data[[#This Row],[Age]]&lt;18,"&lt;18",IF(ADR_Data[[#This Row],[Age]]&lt;=40,"18-40",IF(ADR_Data[[#This Row],[Age]]&lt;=60,"41-60","&gt;60")))</f>
        <v>&gt;60</v>
      </c>
    </row>
    <row r="118" spans="1:16" x14ac:dyDescent="0.35">
      <c r="A118" t="s">
        <v>180</v>
      </c>
      <c r="B118">
        <v>41</v>
      </c>
      <c r="C118" t="s">
        <v>15</v>
      </c>
      <c r="D118" t="s">
        <v>60</v>
      </c>
      <c r="E118" t="s">
        <v>61</v>
      </c>
      <c r="F118" t="s">
        <v>62</v>
      </c>
      <c r="G118" t="s">
        <v>27</v>
      </c>
      <c r="H118" s="1">
        <v>46078</v>
      </c>
      <c r="I118" s="1">
        <v>46098</v>
      </c>
      <c r="J118">
        <v>3</v>
      </c>
      <c r="K118" t="s">
        <v>35</v>
      </c>
      <c r="L118" t="s">
        <v>40</v>
      </c>
      <c r="M118" t="s">
        <v>57</v>
      </c>
      <c r="N118">
        <v>20</v>
      </c>
      <c r="O118" t="str">
        <f t="shared" si="3"/>
        <v>Intermediate</v>
      </c>
      <c r="P118" t="str">
        <f>IF(ADR_Data[[#This Row],[Age]]&lt;18,"&lt;18",IF(ADR_Data[[#This Row],[Age]]&lt;=40,"18-40",IF(ADR_Data[[#This Row],[Age]]&lt;=60,"41-60","&gt;60")))</f>
        <v>41-60</v>
      </c>
    </row>
    <row r="119" spans="1:16" x14ac:dyDescent="0.35">
      <c r="A119" t="s">
        <v>181</v>
      </c>
      <c r="B119">
        <v>76</v>
      </c>
      <c r="C119" t="s">
        <v>31</v>
      </c>
      <c r="D119" t="s">
        <v>76</v>
      </c>
      <c r="E119" t="s">
        <v>78</v>
      </c>
      <c r="F119" t="s">
        <v>66</v>
      </c>
      <c r="G119" t="s">
        <v>27</v>
      </c>
      <c r="H119" s="1">
        <v>46095</v>
      </c>
      <c r="I119" s="1">
        <v>46096</v>
      </c>
      <c r="J119">
        <v>9</v>
      </c>
      <c r="K119" t="s">
        <v>28</v>
      </c>
      <c r="L119" t="s">
        <v>40</v>
      </c>
      <c r="M119" t="s">
        <v>22</v>
      </c>
      <c r="N119">
        <v>1</v>
      </c>
      <c r="O119" t="str">
        <f t="shared" si="3"/>
        <v>Early</v>
      </c>
      <c r="P119" t="str">
        <f>IF(ADR_Data[[#This Row],[Age]]&lt;18,"&lt;18",IF(ADR_Data[[#This Row],[Age]]&lt;=40,"18-40",IF(ADR_Data[[#This Row],[Age]]&lt;=60,"41-60","&gt;60")))</f>
        <v>&gt;60</v>
      </c>
    </row>
    <row r="120" spans="1:16" x14ac:dyDescent="0.35">
      <c r="A120" t="s">
        <v>182</v>
      </c>
      <c r="B120">
        <v>56</v>
      </c>
      <c r="C120" t="s">
        <v>31</v>
      </c>
      <c r="D120" t="s">
        <v>76</v>
      </c>
      <c r="E120" t="s">
        <v>78</v>
      </c>
      <c r="F120" t="s">
        <v>39</v>
      </c>
      <c r="G120" t="s">
        <v>19</v>
      </c>
      <c r="H120" s="1">
        <v>46130</v>
      </c>
      <c r="I120" s="1">
        <v>46136</v>
      </c>
      <c r="J120">
        <v>2</v>
      </c>
      <c r="K120" t="s">
        <v>20</v>
      </c>
      <c r="L120" t="s">
        <v>21</v>
      </c>
      <c r="M120" t="s">
        <v>57</v>
      </c>
      <c r="N120">
        <v>6</v>
      </c>
      <c r="O120" t="str">
        <f t="shared" si="3"/>
        <v>Early</v>
      </c>
      <c r="P120" t="str">
        <f>IF(ADR_Data[[#This Row],[Age]]&lt;18,"&lt;18",IF(ADR_Data[[#This Row],[Age]]&lt;=40,"18-40",IF(ADR_Data[[#This Row],[Age]]&lt;=60,"41-60","&gt;60")))</f>
        <v>41-60</v>
      </c>
    </row>
    <row r="121" spans="1:16" x14ac:dyDescent="0.35">
      <c r="A121" t="s">
        <v>183</v>
      </c>
      <c r="B121">
        <v>66</v>
      </c>
      <c r="C121" t="s">
        <v>31</v>
      </c>
      <c r="D121" t="s">
        <v>42</v>
      </c>
      <c r="E121" t="s">
        <v>17</v>
      </c>
      <c r="F121" t="s">
        <v>18</v>
      </c>
      <c r="G121" t="s">
        <v>19</v>
      </c>
      <c r="H121" s="1">
        <v>46079</v>
      </c>
      <c r="I121" s="1">
        <v>46091</v>
      </c>
      <c r="J121">
        <v>14</v>
      </c>
      <c r="K121" t="s">
        <v>20</v>
      </c>
      <c r="L121" t="s">
        <v>40</v>
      </c>
      <c r="M121" t="s">
        <v>57</v>
      </c>
      <c r="N121">
        <v>12</v>
      </c>
      <c r="O121" t="str">
        <f t="shared" si="3"/>
        <v>Intermediate</v>
      </c>
      <c r="P121" t="str">
        <f>IF(ADR_Data[[#This Row],[Age]]&lt;18,"&lt;18",IF(ADR_Data[[#This Row],[Age]]&lt;=40,"18-40",IF(ADR_Data[[#This Row],[Age]]&lt;=60,"41-60","&gt;60")))</f>
        <v>&gt;60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7F74-0D4E-4024-9261-E04605E22E24}">
  <dimension ref="A1:P57"/>
  <sheetViews>
    <sheetView workbookViewId="0">
      <selection activeCell="K43" sqref="K43"/>
    </sheetView>
  </sheetViews>
  <sheetFormatPr defaultRowHeight="14.5" x14ac:dyDescent="0.35"/>
  <cols>
    <col min="1" max="1" width="17.6328125" bestFit="1" customWidth="1"/>
    <col min="2" max="2" width="19.7265625" customWidth="1"/>
    <col min="3" max="3" width="10.7265625" bestFit="1" customWidth="1"/>
    <col min="4" max="4" width="12.81640625" customWidth="1"/>
    <col min="5" max="5" width="15.453125" customWidth="1"/>
    <col min="6" max="6" width="14.54296875" customWidth="1"/>
    <col min="7" max="7" width="12" customWidth="1"/>
    <col min="9" max="9" width="17.6328125" bestFit="1" customWidth="1"/>
    <col min="10" max="10" width="15.26953125" bestFit="1" customWidth="1"/>
    <col min="11" max="11" width="12.6328125" bestFit="1" customWidth="1"/>
    <col min="12" max="12" width="18.453125" customWidth="1"/>
    <col min="13" max="13" width="7.453125" bestFit="1" customWidth="1"/>
    <col min="14" max="14" width="8.08984375" bestFit="1" customWidth="1"/>
    <col min="15" max="15" width="8.36328125" bestFit="1" customWidth="1"/>
    <col min="16" max="16" width="11.6328125" customWidth="1"/>
    <col min="17" max="17" width="14.6328125" bestFit="1" customWidth="1"/>
    <col min="18" max="18" width="9.08984375" bestFit="1" customWidth="1"/>
    <col min="19" max="19" width="12.36328125" bestFit="1" customWidth="1"/>
    <col min="20" max="20" width="10.81640625" bestFit="1" customWidth="1"/>
    <col min="21" max="21" width="7" bestFit="1" customWidth="1"/>
    <col min="22" max="23" width="8.36328125" bestFit="1" customWidth="1"/>
    <col min="24" max="24" width="10.7265625" bestFit="1" customWidth="1"/>
  </cols>
  <sheetData>
    <row r="1" spans="1:16" x14ac:dyDescent="0.35">
      <c r="A1" s="3" t="s">
        <v>190</v>
      </c>
      <c r="B1" s="3" t="s">
        <v>191</v>
      </c>
    </row>
    <row r="2" spans="1:16" x14ac:dyDescent="0.35">
      <c r="A2" s="4" t="s">
        <v>192</v>
      </c>
      <c r="B2" s="4">
        <f>COUNTA(ADR_Data[Patient_ID])</f>
        <v>120</v>
      </c>
    </row>
    <row r="3" spans="1:16" x14ac:dyDescent="0.35">
      <c r="A3" s="4" t="s">
        <v>193</v>
      </c>
      <c r="B3" s="4">
        <f>COUNTA(_xlfn.UNIQUE(ADR_Data[Drug]))</f>
        <v>8</v>
      </c>
    </row>
    <row r="4" spans="1:16" x14ac:dyDescent="0.35">
      <c r="A4" s="4" t="s">
        <v>194</v>
      </c>
      <c r="B4" s="4">
        <f>COUNTIF(ADR_Data[Severity],"Severe")</f>
        <v>20</v>
      </c>
    </row>
    <row r="5" spans="1:16" x14ac:dyDescent="0.35">
      <c r="A5" s="4" t="s">
        <v>195</v>
      </c>
      <c r="B5" s="4">
        <f>COUNTIF(ADR_Data[Outcome],"Hospitalized")</f>
        <v>22</v>
      </c>
    </row>
    <row r="6" spans="1:16" ht="29" x14ac:dyDescent="0.35">
      <c r="A6" s="4" t="s">
        <v>196</v>
      </c>
      <c r="B6" s="4">
        <f>COUNTIF(ADR_Data[Outcome],"Life-threatening")</f>
        <v>6</v>
      </c>
    </row>
    <row r="10" spans="1:16" x14ac:dyDescent="0.35">
      <c r="A10" s="5" t="s">
        <v>200</v>
      </c>
      <c r="B10" s="5" t="s">
        <v>199</v>
      </c>
    </row>
    <row r="11" spans="1:16" x14ac:dyDescent="0.35">
      <c r="A11" s="5" t="s">
        <v>197</v>
      </c>
      <c r="B11" t="s">
        <v>79</v>
      </c>
      <c r="C11" t="s">
        <v>54</v>
      </c>
      <c r="D11" t="s">
        <v>43</v>
      </c>
      <c r="E11" t="s">
        <v>56</v>
      </c>
      <c r="F11" t="s">
        <v>39</v>
      </c>
      <c r="G11" t="s">
        <v>18</v>
      </c>
      <c r="H11" t="s">
        <v>62</v>
      </c>
      <c r="I11" t="s">
        <v>34</v>
      </c>
      <c r="J11" t="s">
        <v>47</v>
      </c>
      <c r="K11" t="s">
        <v>123</v>
      </c>
      <c r="L11" t="s">
        <v>100</v>
      </c>
      <c r="M11" t="s">
        <v>66</v>
      </c>
      <c r="N11" t="s">
        <v>73</v>
      </c>
      <c r="O11" t="s">
        <v>26</v>
      </c>
      <c r="P11" t="s">
        <v>198</v>
      </c>
    </row>
    <row r="12" spans="1:16" x14ac:dyDescent="0.35">
      <c r="A12" s="6" t="s">
        <v>16</v>
      </c>
      <c r="B12" s="7"/>
      <c r="C12" s="7">
        <v>6</v>
      </c>
      <c r="D12" s="7"/>
      <c r="E12" s="7"/>
      <c r="F12" s="7"/>
      <c r="G12" s="7">
        <v>10</v>
      </c>
      <c r="H12" s="7"/>
      <c r="I12" s="7"/>
      <c r="J12" s="7">
        <v>6</v>
      </c>
      <c r="K12" s="7"/>
      <c r="L12" s="7"/>
      <c r="M12" s="7"/>
      <c r="N12" s="7"/>
      <c r="O12" s="7"/>
      <c r="P12" s="7">
        <v>22</v>
      </c>
    </row>
    <row r="13" spans="1:16" x14ac:dyDescent="0.35">
      <c r="A13" s="6" t="s">
        <v>71</v>
      </c>
      <c r="B13" s="7"/>
      <c r="C13" s="7"/>
      <c r="D13" s="7"/>
      <c r="E13" s="7"/>
      <c r="F13" s="7">
        <v>4</v>
      </c>
      <c r="G13" s="7"/>
      <c r="H13" s="7"/>
      <c r="I13" s="7"/>
      <c r="J13" s="7"/>
      <c r="K13" s="7"/>
      <c r="L13" s="7"/>
      <c r="M13" s="7">
        <v>2</v>
      </c>
      <c r="N13" s="7">
        <v>7</v>
      </c>
      <c r="O13" s="7"/>
      <c r="P13" s="7">
        <v>13</v>
      </c>
    </row>
    <row r="14" spans="1:16" x14ac:dyDescent="0.35">
      <c r="A14" s="6" t="s">
        <v>60</v>
      </c>
      <c r="B14" s="7"/>
      <c r="C14" s="7"/>
      <c r="D14" s="7"/>
      <c r="E14" s="7"/>
      <c r="F14" s="7"/>
      <c r="G14" s="7"/>
      <c r="H14" s="7">
        <v>6</v>
      </c>
      <c r="I14" s="7"/>
      <c r="J14" s="7">
        <v>3</v>
      </c>
      <c r="K14" s="7"/>
      <c r="L14" s="7">
        <v>7</v>
      </c>
      <c r="M14" s="7"/>
      <c r="N14" s="7"/>
      <c r="O14" s="7"/>
      <c r="P14" s="7">
        <v>16</v>
      </c>
    </row>
    <row r="15" spans="1:16" x14ac:dyDescent="0.35">
      <c r="A15" s="6" t="s">
        <v>37</v>
      </c>
      <c r="B15" s="7"/>
      <c r="C15" s="7"/>
      <c r="D15" s="7"/>
      <c r="E15" s="7"/>
      <c r="F15" s="7">
        <v>3</v>
      </c>
      <c r="G15" s="7">
        <v>3</v>
      </c>
      <c r="H15" s="7"/>
      <c r="I15" s="7"/>
      <c r="J15" s="7"/>
      <c r="K15" s="7"/>
      <c r="L15" s="7"/>
      <c r="M15" s="7">
        <v>2</v>
      </c>
      <c r="N15" s="7"/>
      <c r="O15" s="7"/>
      <c r="P15" s="7">
        <v>8</v>
      </c>
    </row>
    <row r="16" spans="1:16" x14ac:dyDescent="0.35">
      <c r="A16" s="6" t="s">
        <v>32</v>
      </c>
      <c r="B16" s="7"/>
      <c r="C16" s="7"/>
      <c r="D16" s="7"/>
      <c r="E16" s="7"/>
      <c r="F16" s="7"/>
      <c r="G16" s="7">
        <v>3</v>
      </c>
      <c r="H16" s="7"/>
      <c r="I16" s="7">
        <v>6</v>
      </c>
      <c r="J16" s="7"/>
      <c r="K16" s="7"/>
      <c r="L16" s="7"/>
      <c r="M16" s="7">
        <v>6</v>
      </c>
      <c r="N16" s="7"/>
      <c r="O16" s="7"/>
      <c r="P16" s="7">
        <v>15</v>
      </c>
    </row>
    <row r="17" spans="1:16" x14ac:dyDescent="0.35">
      <c r="A17" s="6" t="s">
        <v>24</v>
      </c>
      <c r="B17" s="7"/>
      <c r="C17" s="7"/>
      <c r="D17" s="7"/>
      <c r="E17" s="7"/>
      <c r="F17" s="7"/>
      <c r="G17" s="7">
        <v>4</v>
      </c>
      <c r="H17" s="7"/>
      <c r="I17" s="7"/>
      <c r="J17" s="7"/>
      <c r="K17" s="7">
        <v>2</v>
      </c>
      <c r="L17" s="7"/>
      <c r="M17" s="7"/>
      <c r="N17" s="7"/>
      <c r="O17" s="7">
        <v>6</v>
      </c>
      <c r="P17" s="7">
        <v>12</v>
      </c>
    </row>
    <row r="18" spans="1:16" x14ac:dyDescent="0.35">
      <c r="A18" s="6" t="s">
        <v>76</v>
      </c>
      <c r="B18" s="7">
        <v>5</v>
      </c>
      <c r="C18" s="7"/>
      <c r="D18" s="7"/>
      <c r="E18" s="7"/>
      <c r="F18" s="7">
        <v>6</v>
      </c>
      <c r="G18" s="7"/>
      <c r="H18" s="7"/>
      <c r="I18" s="7"/>
      <c r="J18" s="7"/>
      <c r="K18" s="7"/>
      <c r="L18" s="7"/>
      <c r="M18" s="7">
        <v>3</v>
      </c>
      <c r="N18" s="7"/>
      <c r="O18" s="7"/>
      <c r="P18" s="7">
        <v>14</v>
      </c>
    </row>
    <row r="19" spans="1:16" x14ac:dyDescent="0.35">
      <c r="A19" s="6" t="s">
        <v>42</v>
      </c>
      <c r="B19" s="7"/>
      <c r="C19" s="7"/>
      <c r="D19" s="7">
        <v>9</v>
      </c>
      <c r="E19" s="7">
        <v>6</v>
      </c>
      <c r="F19" s="7"/>
      <c r="G19" s="7">
        <v>5</v>
      </c>
      <c r="H19" s="7"/>
      <c r="I19" s="7"/>
      <c r="J19" s="7"/>
      <c r="K19" s="7"/>
      <c r="L19" s="7"/>
      <c r="M19" s="7"/>
      <c r="N19" s="7"/>
      <c r="O19" s="7"/>
      <c r="P19" s="7">
        <v>20</v>
      </c>
    </row>
    <row r="20" spans="1:16" x14ac:dyDescent="0.35">
      <c r="A20" s="6" t="s">
        <v>198</v>
      </c>
      <c r="B20" s="7">
        <v>5</v>
      </c>
      <c r="C20" s="7">
        <v>6</v>
      </c>
      <c r="D20" s="7">
        <v>9</v>
      </c>
      <c r="E20" s="7">
        <v>6</v>
      </c>
      <c r="F20" s="7">
        <v>13</v>
      </c>
      <c r="G20" s="7">
        <v>25</v>
      </c>
      <c r="H20" s="7">
        <v>6</v>
      </c>
      <c r="I20" s="7">
        <v>6</v>
      </c>
      <c r="J20" s="7">
        <v>9</v>
      </c>
      <c r="K20" s="7">
        <v>2</v>
      </c>
      <c r="L20" s="7">
        <v>7</v>
      </c>
      <c r="M20" s="7">
        <v>13</v>
      </c>
      <c r="N20" s="7">
        <v>7</v>
      </c>
      <c r="O20" s="7">
        <v>6</v>
      </c>
      <c r="P20" s="7">
        <v>120</v>
      </c>
    </row>
    <row r="26" spans="1:16" x14ac:dyDescent="0.35">
      <c r="A26" s="5" t="s">
        <v>220</v>
      </c>
      <c r="B26" t="s">
        <v>200</v>
      </c>
      <c r="D26" s="5" t="s">
        <v>200</v>
      </c>
      <c r="E26" s="5" t="s">
        <v>199</v>
      </c>
      <c r="H26" s="5" t="s">
        <v>200</v>
      </c>
      <c r="I26" s="5" t="s">
        <v>199</v>
      </c>
    </row>
    <row r="27" spans="1:16" x14ac:dyDescent="0.35">
      <c r="A27" s="6" t="s">
        <v>27</v>
      </c>
      <c r="B27" s="7">
        <v>52</v>
      </c>
      <c r="D27" s="5" t="s">
        <v>221</v>
      </c>
      <c r="E27" t="s">
        <v>44</v>
      </c>
      <c r="F27" t="s">
        <v>198</v>
      </c>
      <c r="H27" s="5" t="s">
        <v>4</v>
      </c>
      <c r="I27" t="s">
        <v>27</v>
      </c>
      <c r="J27" t="s">
        <v>19</v>
      </c>
      <c r="K27" t="s">
        <v>44</v>
      </c>
      <c r="L27" t="s">
        <v>198</v>
      </c>
    </row>
    <row r="28" spans="1:16" x14ac:dyDescent="0.35">
      <c r="A28" s="6" t="s">
        <v>19</v>
      </c>
      <c r="B28" s="7">
        <v>48</v>
      </c>
      <c r="D28" s="6" t="s">
        <v>16</v>
      </c>
      <c r="E28" s="7">
        <v>1</v>
      </c>
      <c r="F28" s="7">
        <v>1</v>
      </c>
      <c r="H28" s="6" t="s">
        <v>46</v>
      </c>
      <c r="I28" s="7">
        <v>5</v>
      </c>
      <c r="J28" s="7">
        <v>3</v>
      </c>
      <c r="K28" s="7">
        <v>1</v>
      </c>
      <c r="L28" s="7">
        <v>9</v>
      </c>
    </row>
    <row r="29" spans="1:16" x14ac:dyDescent="0.35">
      <c r="A29" s="6" t="s">
        <v>44</v>
      </c>
      <c r="B29" s="7">
        <v>20</v>
      </c>
      <c r="D29" s="6" t="s">
        <v>71</v>
      </c>
      <c r="E29" s="7">
        <v>2</v>
      </c>
      <c r="F29" s="7">
        <v>2</v>
      </c>
      <c r="H29" s="6" t="s">
        <v>131</v>
      </c>
      <c r="I29" s="7"/>
      <c r="J29" s="7">
        <v>3</v>
      </c>
      <c r="K29" s="7">
        <v>2</v>
      </c>
      <c r="L29" s="7">
        <v>5</v>
      </c>
    </row>
    <row r="30" spans="1:16" x14ac:dyDescent="0.35">
      <c r="A30" s="6" t="s">
        <v>198</v>
      </c>
      <c r="B30" s="7">
        <v>120</v>
      </c>
      <c r="D30" s="6" t="s">
        <v>60</v>
      </c>
      <c r="E30" s="7">
        <v>3</v>
      </c>
      <c r="F30" s="7">
        <v>3</v>
      </c>
      <c r="H30" s="6" t="s">
        <v>68</v>
      </c>
      <c r="I30" s="7">
        <v>2</v>
      </c>
      <c r="J30" s="7">
        <v>4</v>
      </c>
      <c r="K30" s="7">
        <v>3</v>
      </c>
      <c r="L30" s="7">
        <v>9</v>
      </c>
    </row>
    <row r="31" spans="1:16" x14ac:dyDescent="0.35">
      <c r="D31" s="6" t="s">
        <v>32</v>
      </c>
      <c r="E31" s="7">
        <v>2</v>
      </c>
      <c r="F31" s="7">
        <v>2</v>
      </c>
      <c r="H31" s="6" t="s">
        <v>61</v>
      </c>
      <c r="I31" s="7">
        <v>2</v>
      </c>
      <c r="J31" s="7">
        <v>3</v>
      </c>
      <c r="K31" s="7">
        <v>1</v>
      </c>
      <c r="L31" s="7">
        <v>6</v>
      </c>
    </row>
    <row r="32" spans="1:16" x14ac:dyDescent="0.35">
      <c r="D32" s="6" t="s">
        <v>24</v>
      </c>
      <c r="E32" s="7">
        <v>3</v>
      </c>
      <c r="F32" s="7">
        <v>3</v>
      </c>
      <c r="H32" s="6" t="s">
        <v>25</v>
      </c>
      <c r="I32" s="7">
        <v>3</v>
      </c>
      <c r="J32" s="7">
        <v>3</v>
      </c>
      <c r="K32" s="7">
        <v>1</v>
      </c>
      <c r="L32" s="7">
        <v>7</v>
      </c>
    </row>
    <row r="33" spans="1:12" x14ac:dyDescent="0.35">
      <c r="D33" s="6" t="s">
        <v>42</v>
      </c>
      <c r="E33" s="7">
        <v>9</v>
      </c>
      <c r="F33" s="7">
        <v>9</v>
      </c>
      <c r="H33" s="6" t="s">
        <v>51</v>
      </c>
      <c r="I33" s="7">
        <v>1</v>
      </c>
      <c r="J33" s="7">
        <v>3</v>
      </c>
      <c r="K33" s="7"/>
      <c r="L33" s="7">
        <v>4</v>
      </c>
    </row>
    <row r="34" spans="1:12" x14ac:dyDescent="0.35">
      <c r="D34" s="6" t="s">
        <v>198</v>
      </c>
      <c r="E34" s="7">
        <v>20</v>
      </c>
      <c r="F34" s="7">
        <v>20</v>
      </c>
      <c r="H34" s="6" t="s">
        <v>72</v>
      </c>
      <c r="I34" s="7">
        <v>4</v>
      </c>
      <c r="J34" s="7">
        <v>3</v>
      </c>
      <c r="K34" s="7">
        <v>1</v>
      </c>
      <c r="L34" s="7">
        <v>8</v>
      </c>
    </row>
    <row r="35" spans="1:12" x14ac:dyDescent="0.35">
      <c r="H35" s="6" t="s">
        <v>99</v>
      </c>
      <c r="I35" s="7">
        <v>4</v>
      </c>
      <c r="J35" s="7">
        <v>4</v>
      </c>
      <c r="K35" s="7">
        <v>2</v>
      </c>
      <c r="L35" s="7">
        <v>10</v>
      </c>
    </row>
    <row r="36" spans="1:12" x14ac:dyDescent="0.35">
      <c r="H36" s="6" t="s">
        <v>33</v>
      </c>
      <c r="I36" s="7">
        <v>7</v>
      </c>
      <c r="J36" s="7">
        <v>2</v>
      </c>
      <c r="K36" s="7">
        <v>2</v>
      </c>
      <c r="L36" s="7">
        <v>11</v>
      </c>
    </row>
    <row r="37" spans="1:12" x14ac:dyDescent="0.35">
      <c r="H37" s="6" t="s">
        <v>17</v>
      </c>
      <c r="I37" s="7">
        <v>7</v>
      </c>
      <c r="J37" s="7">
        <v>11</v>
      </c>
      <c r="K37" s="7">
        <v>6</v>
      </c>
      <c r="L37" s="7">
        <v>24</v>
      </c>
    </row>
    <row r="38" spans="1:12" x14ac:dyDescent="0.35">
      <c r="A38" s="5" t="s">
        <v>200</v>
      </c>
      <c r="B38" s="5" t="s">
        <v>199</v>
      </c>
      <c r="H38" s="6" t="s">
        <v>38</v>
      </c>
      <c r="I38" s="7">
        <v>13</v>
      </c>
      <c r="J38" s="7">
        <v>6</v>
      </c>
      <c r="K38" s="7">
        <v>1</v>
      </c>
      <c r="L38" s="7">
        <v>20</v>
      </c>
    </row>
    <row r="39" spans="1:12" x14ac:dyDescent="0.35">
      <c r="A39" s="5" t="s">
        <v>213</v>
      </c>
      <c r="B39" t="s">
        <v>27</v>
      </c>
      <c r="C39" t="s">
        <v>19</v>
      </c>
      <c r="D39" t="s">
        <v>44</v>
      </c>
      <c r="E39" t="s">
        <v>198</v>
      </c>
      <c r="H39" s="6" t="s">
        <v>78</v>
      </c>
      <c r="I39" s="7">
        <v>4</v>
      </c>
      <c r="J39" s="7">
        <v>3</v>
      </c>
      <c r="K39" s="7"/>
      <c r="L39" s="7">
        <v>7</v>
      </c>
    </row>
    <row r="40" spans="1:12" x14ac:dyDescent="0.35">
      <c r="A40" s="6" t="s">
        <v>202</v>
      </c>
      <c r="B40" s="7">
        <v>13</v>
      </c>
      <c r="C40" s="7">
        <v>14</v>
      </c>
      <c r="D40" s="7">
        <v>5</v>
      </c>
      <c r="E40" s="7">
        <v>32</v>
      </c>
      <c r="H40" s="6" t="s">
        <v>198</v>
      </c>
      <c r="I40" s="7">
        <v>52</v>
      </c>
      <c r="J40" s="7">
        <v>48</v>
      </c>
      <c r="K40" s="7">
        <v>20</v>
      </c>
      <c r="L40" s="7">
        <v>120</v>
      </c>
    </row>
    <row r="41" spans="1:12" x14ac:dyDescent="0.35">
      <c r="A41" s="6" t="s">
        <v>203</v>
      </c>
      <c r="B41" s="7">
        <v>39</v>
      </c>
      <c r="C41" s="7">
        <v>34</v>
      </c>
      <c r="D41" s="7">
        <v>15</v>
      </c>
      <c r="E41" s="7">
        <v>88</v>
      </c>
    </row>
    <row r="42" spans="1:12" x14ac:dyDescent="0.35">
      <c r="A42" s="6" t="s">
        <v>198</v>
      </c>
      <c r="B42" s="7">
        <v>52</v>
      </c>
      <c r="C42" s="7">
        <v>48</v>
      </c>
      <c r="D42" s="7">
        <v>20</v>
      </c>
      <c r="E42" s="7">
        <v>120</v>
      </c>
      <c r="H42" s="5" t="s">
        <v>212</v>
      </c>
      <c r="I42" t="s">
        <v>200</v>
      </c>
      <c r="K42" s="5" t="s">
        <v>223</v>
      </c>
      <c r="L42" t="s">
        <v>200</v>
      </c>
    </row>
    <row r="43" spans="1:12" x14ac:dyDescent="0.35">
      <c r="H43" s="6" t="s">
        <v>16</v>
      </c>
      <c r="I43" s="7">
        <v>22</v>
      </c>
      <c r="K43" s="6" t="s">
        <v>202</v>
      </c>
      <c r="L43" s="7">
        <v>32</v>
      </c>
    </row>
    <row r="44" spans="1:12" x14ac:dyDescent="0.35">
      <c r="A44" s="5" t="s">
        <v>200</v>
      </c>
      <c r="B44" s="5" t="s">
        <v>199</v>
      </c>
      <c r="H44" s="6" t="s">
        <v>71</v>
      </c>
      <c r="I44" s="7">
        <v>13</v>
      </c>
      <c r="K44" s="6" t="s">
        <v>203</v>
      </c>
      <c r="L44" s="7">
        <v>88</v>
      </c>
    </row>
    <row r="45" spans="1:12" x14ac:dyDescent="0.35">
      <c r="A45" s="5" t="s">
        <v>222</v>
      </c>
      <c r="B45" t="s">
        <v>27</v>
      </c>
      <c r="C45" t="s">
        <v>19</v>
      </c>
      <c r="D45" t="s">
        <v>44</v>
      </c>
      <c r="E45" t="s">
        <v>198</v>
      </c>
      <c r="H45" s="6" t="s">
        <v>60</v>
      </c>
      <c r="I45" s="7">
        <v>16</v>
      </c>
      <c r="K45" s="6" t="s">
        <v>198</v>
      </c>
      <c r="L45" s="7">
        <v>120</v>
      </c>
    </row>
    <row r="46" spans="1:12" x14ac:dyDescent="0.35">
      <c r="A46" s="6" t="s">
        <v>52</v>
      </c>
      <c r="B46" s="7">
        <v>5</v>
      </c>
      <c r="C46" s="7">
        <v>6</v>
      </c>
      <c r="D46" s="7">
        <v>2</v>
      </c>
      <c r="E46" s="7">
        <v>13</v>
      </c>
      <c r="H46" s="6" t="s">
        <v>37</v>
      </c>
      <c r="I46" s="7">
        <v>8</v>
      </c>
    </row>
    <row r="47" spans="1:12" x14ac:dyDescent="0.35">
      <c r="A47" s="6" t="s">
        <v>22</v>
      </c>
      <c r="B47" s="7">
        <v>12</v>
      </c>
      <c r="C47" s="7">
        <v>6</v>
      </c>
      <c r="D47" s="7">
        <v>5</v>
      </c>
      <c r="E47" s="7">
        <v>23</v>
      </c>
      <c r="H47" s="6" t="s">
        <v>32</v>
      </c>
      <c r="I47" s="7">
        <v>15</v>
      </c>
    </row>
    <row r="48" spans="1:12" x14ac:dyDescent="0.35">
      <c r="A48" s="6" t="s">
        <v>49</v>
      </c>
      <c r="B48" s="7">
        <v>11</v>
      </c>
      <c r="C48" s="7">
        <v>8</v>
      </c>
      <c r="D48" s="7">
        <v>3</v>
      </c>
      <c r="E48" s="7">
        <v>22</v>
      </c>
      <c r="H48" s="6" t="s">
        <v>24</v>
      </c>
      <c r="I48" s="7">
        <v>12</v>
      </c>
    </row>
    <row r="49" spans="1:9" x14ac:dyDescent="0.35">
      <c r="A49" s="6" t="s">
        <v>29</v>
      </c>
      <c r="B49" s="7">
        <v>11</v>
      </c>
      <c r="C49" s="7">
        <v>12</v>
      </c>
      <c r="D49" s="7">
        <v>5</v>
      </c>
      <c r="E49" s="7">
        <v>28</v>
      </c>
      <c r="H49" s="6" t="s">
        <v>76</v>
      </c>
      <c r="I49" s="7">
        <v>14</v>
      </c>
    </row>
    <row r="50" spans="1:9" x14ac:dyDescent="0.35">
      <c r="A50" s="6" t="s">
        <v>57</v>
      </c>
      <c r="B50" s="7">
        <v>13</v>
      </c>
      <c r="C50" s="7">
        <v>16</v>
      </c>
      <c r="D50" s="7">
        <v>5</v>
      </c>
      <c r="E50" s="7">
        <v>34</v>
      </c>
      <c r="H50" s="6" t="s">
        <v>42</v>
      </c>
      <c r="I50" s="7">
        <v>20</v>
      </c>
    </row>
    <row r="51" spans="1:9" x14ac:dyDescent="0.35">
      <c r="A51" s="6" t="s">
        <v>198</v>
      </c>
      <c r="B51" s="7">
        <v>52</v>
      </c>
      <c r="C51" s="7">
        <v>48</v>
      </c>
      <c r="D51" s="7">
        <v>20</v>
      </c>
      <c r="E51" s="7">
        <v>120</v>
      </c>
      <c r="H51" s="6" t="s">
        <v>198</v>
      </c>
      <c r="I51" s="7">
        <v>120</v>
      </c>
    </row>
    <row r="53" spans="1:9" x14ac:dyDescent="0.35">
      <c r="A53" s="5" t="s">
        <v>200</v>
      </c>
      <c r="B53" s="5" t="s">
        <v>199</v>
      </c>
    </row>
    <row r="54" spans="1:9" x14ac:dyDescent="0.35">
      <c r="A54" s="5" t="s">
        <v>197</v>
      </c>
      <c r="B54" t="s">
        <v>27</v>
      </c>
      <c r="C54" t="s">
        <v>19</v>
      </c>
      <c r="D54" t="s">
        <v>44</v>
      </c>
      <c r="E54" t="s">
        <v>198</v>
      </c>
    </row>
    <row r="55" spans="1:9" x14ac:dyDescent="0.35">
      <c r="A55" s="6" t="s">
        <v>40</v>
      </c>
      <c r="B55" s="7">
        <v>33</v>
      </c>
      <c r="C55" s="7">
        <v>31</v>
      </c>
      <c r="D55" s="7">
        <v>13</v>
      </c>
      <c r="E55" s="7">
        <v>77</v>
      </c>
    </row>
    <row r="56" spans="1:9" x14ac:dyDescent="0.35">
      <c r="A56" s="6" t="s">
        <v>21</v>
      </c>
      <c r="B56" s="7">
        <v>19</v>
      </c>
      <c r="C56" s="7">
        <v>17</v>
      </c>
      <c r="D56" s="7">
        <v>7</v>
      </c>
      <c r="E56" s="7">
        <v>43</v>
      </c>
    </row>
    <row r="57" spans="1:9" x14ac:dyDescent="0.35">
      <c r="A57" s="6" t="s">
        <v>198</v>
      </c>
      <c r="B57" s="7">
        <v>52</v>
      </c>
      <c r="C57" s="7">
        <v>48</v>
      </c>
      <c r="D57" s="7">
        <v>20</v>
      </c>
      <c r="E57" s="7">
        <v>120</v>
      </c>
    </row>
  </sheetData>
  <pageMargins left="0.7" right="0.7" top="0.75" bottom="0.75" header="0.3" footer="0.3"/>
  <drawing r:id="rId10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47E5-76B3-41C5-8C92-4105C8E40AC2}">
  <dimension ref="A1:L84"/>
  <sheetViews>
    <sheetView tabSelected="1" topLeftCell="I43" zoomScale="101" workbookViewId="0">
      <selection activeCell="E76" sqref="E76:L76"/>
    </sheetView>
  </sheetViews>
  <sheetFormatPr defaultRowHeight="14.5" x14ac:dyDescent="0.35"/>
  <cols>
    <col min="3" max="3" width="18.26953125" customWidth="1"/>
    <col min="5" max="5" width="19.453125" customWidth="1"/>
    <col min="9" max="9" width="14.90625" customWidth="1"/>
    <col min="11" max="11" width="11.453125" customWidth="1"/>
  </cols>
  <sheetData>
    <row r="1" spans="1:12" x14ac:dyDescent="0.35">
      <c r="A1" s="9" t="s">
        <v>205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5" spans="1:12" ht="23.5" x14ac:dyDescent="0.55000000000000004">
      <c r="A5" s="13" t="s">
        <v>206</v>
      </c>
      <c r="B5" s="14"/>
      <c r="C5" s="14"/>
      <c r="E5" s="15" t="s">
        <v>207</v>
      </c>
      <c r="F5" s="15"/>
      <c r="G5" s="15"/>
      <c r="I5" s="15" t="s">
        <v>208</v>
      </c>
      <c r="J5" s="15"/>
      <c r="K5" s="15"/>
    </row>
    <row r="6" spans="1:12" ht="23.5" x14ac:dyDescent="0.55000000000000004">
      <c r="A6" s="13">
        <f>COUNTA(ADR_Data[Patient_ID])</f>
        <v>120</v>
      </c>
      <c r="B6" s="13"/>
      <c r="C6" s="13"/>
      <c r="E6" s="15">
        <f>COUNTA(_xlfn.UNIQUE(ADR_Data[Drug]))</f>
        <v>8</v>
      </c>
      <c r="F6" s="15"/>
      <c r="G6" s="15"/>
      <c r="I6" s="15">
        <f>COUNTIF(ADR_Data[Severity],"Severe")</f>
        <v>20</v>
      </c>
      <c r="J6" s="15"/>
      <c r="K6" s="15"/>
    </row>
    <row r="7" spans="1:12" x14ac:dyDescent="0.35">
      <c r="A7" s="11"/>
      <c r="B7" s="11"/>
      <c r="C7" s="11"/>
      <c r="E7" s="10"/>
      <c r="F7" s="10"/>
      <c r="G7" s="10"/>
      <c r="I7" s="10"/>
      <c r="J7" s="10"/>
      <c r="K7" s="10"/>
    </row>
    <row r="8" spans="1:12" x14ac:dyDescent="0.35">
      <c r="A8" s="11"/>
      <c r="B8" s="11"/>
      <c r="C8" s="11"/>
      <c r="E8" s="10"/>
      <c r="F8" s="10"/>
      <c r="G8" s="10"/>
      <c r="I8" s="10"/>
      <c r="J8" s="10"/>
      <c r="K8" s="10"/>
    </row>
    <row r="10" spans="1:12" ht="23.5" x14ac:dyDescent="0.55000000000000004">
      <c r="A10" s="15" t="s">
        <v>209</v>
      </c>
      <c r="B10" s="15"/>
      <c r="C10" s="15"/>
      <c r="E10" s="15" t="s">
        <v>210</v>
      </c>
      <c r="F10" s="15"/>
      <c r="G10" s="15"/>
      <c r="I10" s="15" t="s">
        <v>211</v>
      </c>
      <c r="J10" s="15"/>
      <c r="K10" s="15"/>
    </row>
    <row r="11" spans="1:12" ht="23.5" x14ac:dyDescent="0.55000000000000004">
      <c r="A11" s="15">
        <f>COUNTIF(ADR_Data[Outcome],"Hospitalized")</f>
        <v>22</v>
      </c>
      <c r="B11" s="15"/>
      <c r="C11" s="15"/>
      <c r="E11" s="15">
        <f>COUNTIF(ADR_Data[Outcome],"Life-threatening")</f>
        <v>6</v>
      </c>
      <c r="F11" s="15"/>
      <c r="G11" s="15"/>
      <c r="I11" s="15">
        <f>AVERAGE(ADR_Data[Time_to_Reaction_Days])</f>
        <v>14.3</v>
      </c>
      <c r="J11" s="15"/>
      <c r="K11" s="15"/>
    </row>
    <row r="12" spans="1:12" x14ac:dyDescent="0.35">
      <c r="A12" s="10"/>
      <c r="B12" s="10"/>
      <c r="C12" s="10"/>
      <c r="E12" s="10"/>
      <c r="F12" s="10"/>
      <c r="G12" s="10"/>
      <c r="I12" s="12"/>
      <c r="J12" s="12"/>
      <c r="K12" s="12"/>
    </row>
    <row r="13" spans="1:12" x14ac:dyDescent="0.35">
      <c r="A13" s="10"/>
      <c r="B13" s="10"/>
      <c r="C13" s="10"/>
      <c r="E13" s="10"/>
      <c r="F13" s="10"/>
      <c r="G13" s="10"/>
      <c r="I13" s="10"/>
      <c r="J13" s="10"/>
      <c r="K13" s="10"/>
    </row>
    <row r="70" spans="2:12" ht="28.5" x14ac:dyDescent="0.65">
      <c r="B70" s="16" t="s">
        <v>214</v>
      </c>
      <c r="C70" s="8"/>
      <c r="D70" s="8"/>
      <c r="E70" s="8"/>
    </row>
    <row r="71" spans="2:12" x14ac:dyDescent="0.35">
      <c r="E71" s="8" t="s">
        <v>215</v>
      </c>
      <c r="F71" s="8"/>
      <c r="G71" s="8"/>
      <c r="H71" s="8"/>
      <c r="I71" s="8"/>
      <c r="J71" s="8"/>
      <c r="K71" s="8"/>
      <c r="L71" s="8"/>
    </row>
    <row r="72" spans="2:12" x14ac:dyDescent="0.35">
      <c r="E72" s="8" t="s">
        <v>216</v>
      </c>
      <c r="F72" s="8"/>
      <c r="G72" s="8"/>
      <c r="H72" s="8"/>
      <c r="I72" s="8"/>
      <c r="J72" s="8"/>
      <c r="K72" s="8"/>
      <c r="L72" s="8"/>
    </row>
    <row r="73" spans="2:12" x14ac:dyDescent="0.35">
      <c r="E73" s="8" t="s">
        <v>217</v>
      </c>
      <c r="F73" s="8"/>
      <c r="G73" s="8"/>
      <c r="H73" s="8"/>
      <c r="I73" s="8"/>
      <c r="J73" s="8"/>
      <c r="K73" s="8"/>
      <c r="L73" s="8"/>
    </row>
    <row r="74" spans="2:12" x14ac:dyDescent="0.35">
      <c r="E74" s="8" t="s">
        <v>218</v>
      </c>
      <c r="F74" s="8"/>
      <c r="G74" s="8"/>
      <c r="H74" s="8"/>
      <c r="I74" s="8"/>
      <c r="J74" s="8"/>
      <c r="K74" s="8"/>
      <c r="L74" s="8"/>
    </row>
    <row r="75" spans="2:12" x14ac:dyDescent="0.35">
      <c r="E75" s="8" t="s">
        <v>219</v>
      </c>
      <c r="F75" s="8"/>
      <c r="G75" s="8"/>
      <c r="H75" s="8"/>
      <c r="I75" s="8"/>
      <c r="J75" s="8"/>
      <c r="K75" s="8"/>
      <c r="L75" s="8"/>
    </row>
    <row r="76" spans="2:12" x14ac:dyDescent="0.35">
      <c r="E76" s="8"/>
      <c r="F76" s="8"/>
      <c r="G76" s="8"/>
      <c r="H76" s="8"/>
      <c r="I76" s="8"/>
      <c r="J76" s="8"/>
      <c r="K76" s="8"/>
      <c r="L76" s="8"/>
    </row>
    <row r="77" spans="2:12" x14ac:dyDescent="0.35">
      <c r="E77" s="8"/>
      <c r="F77" s="8"/>
      <c r="G77" s="8"/>
      <c r="H77" s="8"/>
      <c r="I77" s="8"/>
      <c r="J77" s="8"/>
      <c r="K77" s="8"/>
      <c r="L77" s="8"/>
    </row>
    <row r="78" spans="2:12" x14ac:dyDescent="0.35">
      <c r="E78" s="8"/>
      <c r="F78" s="8"/>
      <c r="G78" s="8"/>
      <c r="H78" s="8"/>
      <c r="I78" s="8"/>
      <c r="J78" s="8"/>
      <c r="K78" s="8"/>
      <c r="L78" s="8"/>
    </row>
    <row r="79" spans="2:12" x14ac:dyDescent="0.35">
      <c r="E79" s="8"/>
      <c r="F79" s="8"/>
      <c r="G79" s="8"/>
      <c r="H79" s="8"/>
      <c r="I79" s="8"/>
      <c r="J79" s="8"/>
      <c r="K79" s="8"/>
      <c r="L79" s="8"/>
    </row>
    <row r="80" spans="2:12" x14ac:dyDescent="0.35">
      <c r="E80" s="8"/>
      <c r="F80" s="8"/>
      <c r="G80" s="8"/>
      <c r="H80" s="8"/>
      <c r="I80" s="8"/>
      <c r="J80" s="8"/>
      <c r="K80" s="8"/>
      <c r="L80" s="8"/>
    </row>
    <row r="81" spans="5:12" x14ac:dyDescent="0.35">
      <c r="E81" s="8"/>
      <c r="F81" s="8"/>
      <c r="G81" s="8"/>
      <c r="H81" s="8"/>
      <c r="I81" s="8"/>
      <c r="J81" s="8"/>
      <c r="K81" s="8"/>
      <c r="L81" s="8"/>
    </row>
    <row r="82" spans="5:12" x14ac:dyDescent="0.35">
      <c r="E82" s="8"/>
      <c r="F82" s="8"/>
      <c r="G82" s="8"/>
      <c r="H82" s="8"/>
      <c r="I82" s="8"/>
      <c r="J82" s="8"/>
      <c r="K82" s="8"/>
      <c r="L82" s="8"/>
    </row>
    <row r="83" spans="5:12" x14ac:dyDescent="0.35">
      <c r="E83" s="8"/>
      <c r="F83" s="8"/>
      <c r="G83" s="8"/>
      <c r="H83" s="8"/>
      <c r="I83" s="8"/>
      <c r="J83" s="8"/>
      <c r="K83" s="8"/>
      <c r="L83" s="8"/>
    </row>
    <row r="84" spans="5:12" x14ac:dyDescent="0.35">
      <c r="E84" s="8"/>
      <c r="F84" s="8"/>
      <c r="G84" s="8"/>
      <c r="H84" s="8"/>
      <c r="I84" s="8"/>
      <c r="J84" s="8"/>
      <c r="K84" s="8"/>
      <c r="L84" s="8"/>
    </row>
  </sheetData>
  <mergeCells count="40">
    <mergeCell ref="E79:L79"/>
    <mergeCell ref="E80:L80"/>
    <mergeCell ref="E81:L81"/>
    <mergeCell ref="E82:L82"/>
    <mergeCell ref="E83:L83"/>
    <mergeCell ref="E84:L84"/>
    <mergeCell ref="B70:E70"/>
    <mergeCell ref="E71:L71"/>
    <mergeCell ref="E72:L72"/>
    <mergeCell ref="E73:L73"/>
    <mergeCell ref="E74:L74"/>
    <mergeCell ref="E75:L75"/>
    <mergeCell ref="E76:L76"/>
    <mergeCell ref="E77:L77"/>
    <mergeCell ref="E78:L78"/>
    <mergeCell ref="I5:K5"/>
    <mergeCell ref="E8:G8"/>
    <mergeCell ref="E7:G7"/>
    <mergeCell ref="E6:G6"/>
    <mergeCell ref="E5:G5"/>
    <mergeCell ref="A8:C8"/>
    <mergeCell ref="A7:C7"/>
    <mergeCell ref="A6:C6"/>
    <mergeCell ref="A5:C5"/>
    <mergeCell ref="A13:C13"/>
    <mergeCell ref="E12:G12"/>
    <mergeCell ref="E13:G13"/>
    <mergeCell ref="I12:K12"/>
    <mergeCell ref="I13:K13"/>
    <mergeCell ref="I6:K6"/>
    <mergeCell ref="I7:K7"/>
    <mergeCell ref="I8:K8"/>
    <mergeCell ref="A10:C10"/>
    <mergeCell ref="A11:C11"/>
    <mergeCell ref="A12:C12"/>
    <mergeCell ref="I11:K11"/>
    <mergeCell ref="I10:K10"/>
    <mergeCell ref="E11:G11"/>
    <mergeCell ref="E10:G10"/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Raw_Data</vt:lpstr>
      <vt:lpstr>ADR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E</cp:lastModifiedBy>
  <dcterms:created xsi:type="dcterms:W3CDTF">2026-08-29T17:12:18Z</dcterms:created>
  <dcterms:modified xsi:type="dcterms:W3CDTF">2026-08-31T17:29:36Z</dcterms:modified>
</cp:coreProperties>
</file>
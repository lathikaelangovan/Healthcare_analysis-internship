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skee\Downloads\"/>
    </mc:Choice>
  </mc:AlternateContent>
  <xr:revisionPtr revIDLastSave="0" documentId="8_{D7BFC1B0-C3A0-4ABB-B958-117AB308AE73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aw_Data" sheetId="1" r:id="rId1"/>
    <sheet name="Analysis sheet" sheetId="5" r:id="rId2"/>
    <sheet name="Analysis" sheetId="2" r:id="rId3"/>
    <sheet name="final dashboard" sheetId="14" r:id="rId4"/>
  </sheets>
  <definedNames>
    <definedName name="_xlnm._FilterDatabase" localSheetId="2" hidden="1">Analysis!$A$1:$T$21</definedName>
    <definedName name="_xlnm._FilterDatabase" localSheetId="0" hidden="1">Raw_Data!$A$1:$I$601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4" l="1"/>
  <c r="F4" i="14"/>
  <c r="E4" i="14"/>
  <c r="D4" i="14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</calcChain>
</file>

<file path=xl/sharedStrings.xml><?xml version="1.0" encoding="utf-8"?>
<sst xmlns="http://schemas.openxmlformats.org/spreadsheetml/2006/main" count="2557" uniqueCount="69">
  <si>
    <t>Transaction_ID</t>
  </si>
  <si>
    <t>Date</t>
  </si>
  <si>
    <t>Medicine</t>
  </si>
  <si>
    <t>Category</t>
  </si>
  <si>
    <t>Type</t>
  </si>
  <si>
    <t>Quantity_Sold</t>
  </si>
  <si>
    <t>Unit_Price</t>
  </si>
  <si>
    <t>Revenue</t>
  </si>
  <si>
    <t>Month</t>
  </si>
  <si>
    <t>Azithral 500mg</t>
  </si>
  <si>
    <t>Antibiotic</t>
  </si>
  <si>
    <t>Branded</t>
  </si>
  <si>
    <t>2025-07</t>
  </si>
  <si>
    <t>Metformin 500mg</t>
  </si>
  <si>
    <t>Antidiabetic</t>
  </si>
  <si>
    <t>Generic</t>
  </si>
  <si>
    <t>Pantoprazole 40mg</t>
  </si>
  <si>
    <t>Gastrointestinal</t>
  </si>
  <si>
    <t>Azithromycin 500mg</t>
  </si>
  <si>
    <t>Ibuprofen 400mg</t>
  </si>
  <si>
    <t>Analgesic</t>
  </si>
  <si>
    <t>Zyrtec 10mg</t>
  </si>
  <si>
    <t>Antihistamine</t>
  </si>
  <si>
    <t>Pantocid 40mg</t>
  </si>
  <si>
    <t>Augmentin 625mg</t>
  </si>
  <si>
    <t>Omeprazole 20mg</t>
  </si>
  <si>
    <t>Atorvastatin 10mg</t>
  </si>
  <si>
    <t>Cardiovascular</t>
  </si>
  <si>
    <t>Paracetamol 500mg</t>
  </si>
  <si>
    <t>Cetirizine 10mg</t>
  </si>
  <si>
    <t>Glycomet 500mg</t>
  </si>
  <si>
    <t>Amaryl 1mg</t>
  </si>
  <si>
    <t>Dolo 650</t>
  </si>
  <si>
    <t>Brufen 400</t>
  </si>
  <si>
    <t>Amoxicillin 500mg</t>
  </si>
  <si>
    <t>Omez 20mg</t>
  </si>
  <si>
    <t>Glimepiride 1mg</t>
  </si>
  <si>
    <t>Lipitor 10mg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</si>
  <si>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</si>
  <si>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</si>
  <si>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</si>
  <si>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</si>
  <si>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</si>
  <si>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</si>
  <si>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</si>
  <si>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</si>
  <si>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</si>
  <si>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</si>
  <si>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</si>
  <si>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Total_Units</t>
  </si>
  <si>
    <t>Growth_%</t>
  </si>
  <si>
    <t xml:space="preserve">Revenue </t>
  </si>
  <si>
    <t>Grand Total</t>
  </si>
  <si>
    <t>Sum of Quantity_Sold</t>
  </si>
  <si>
    <t xml:space="preserve">Sum of Revenue </t>
  </si>
  <si>
    <t>Growth%</t>
  </si>
  <si>
    <t>Sum of Growth %</t>
  </si>
  <si>
    <t>PHARMACY SALES AND DRUG ANALYSIS</t>
  </si>
  <si>
    <t>TOTAL REVENUE</t>
  </si>
  <si>
    <t>TOTAL UNITS SOLD</t>
  </si>
  <si>
    <t>TOTAL TRANSACTIONS</t>
  </si>
  <si>
    <t>NUMBER OF MEDICINES</t>
  </si>
  <si>
    <t>KEY FINDINGS:</t>
  </si>
  <si>
    <t>Branded medicines generated higher revenue than generic medicine.</t>
  </si>
  <si>
    <t>Generic medicines had higher unit sales than branded medicines.</t>
  </si>
  <si>
    <t>December 2025 recorded the highest monthly revenue 13720.97</t>
  </si>
  <si>
    <t>June 2026 recorded the largest revenue decline 29.54%</t>
  </si>
  <si>
    <t>October 2025 recorded the highest revenue growth 44.71%</t>
  </si>
  <si>
    <t>Medicines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</si>
</sst>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dd\-mmm\-yyyy"/>
    <numFmt numFmtId="166" formatCode="&quot;₹&quot;\ #,##0.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165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3" fillId="0" borderId="3" xfId="0" applyFont="1" applyBorder="1"/>
    <xf numFmtId="0" fontId="3" fillId="0" borderId="2" xfId="0" applyFont="1" applyBorder="1"/>
    <xf numFmtId="0" fontId="3" fillId="0" borderId="4" xfId="0" applyFont="1" applyBorder="1"/>
    <xf numFmtId="0" fontId="5" fillId="0" borderId="6" xfId="0" applyFont="1" applyBorder="1"/>
    <xf numFmtId="0" fontId="5" fillId="0" borderId="7" xfId="0" applyFont="1" applyBorder="1"/>
    <xf numFmtId="0" fontId="0" fillId="0" borderId="0" xfId="0" applyNumberFormat="1"/>
    <xf numFmtId="166" fontId="5" fillId="0" borderId="5" xfId="0" applyNumberFormat="1" applyFont="1" applyBorder="1"/>
    <xf numFmtId="0" fontId="5" fillId="0" borderId="6" xfId="0" applyNumberFormat="1" applyFont="1" applyBorder="1"/>
    <xf numFmtId="0" fontId="6" fillId="0" borderId="0" xfId="0" applyFont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 inden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6" formatCode="&quot;₹&quot;\ #,##0.00"/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numFmt numFmtId="0" formatCode="General"/>
    </dxf>
    <dxf>
      <numFmt numFmtId="164" formatCode="\₹#,##0.00"/>
    </dxf>
    <dxf>
      <numFmt numFmtId="164" formatCode="\₹#,##0.00"/>
    </dxf>
    <dxf>
      <numFmt numFmtId="165" formatCode="dd\-mmm\-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[pharmacy sales and analysis_int.xlsx]Analysis sheet!PivotTable1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Top</a:t>
            </a:r>
            <a:r>
              <a:rPr lang="en-US" sz="1800" b="1" baseline="0"/>
              <a:t> 5 Selling Medicine</a:t>
            </a:r>
          </a:p>
        </c:rich>
      </c:tx>
      <c:layout>
        <c:manualLayout>
          <c:xMode val="edge"/>
          <c:yMode val="edge"/>
          <c:x val="0.34293044619422575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4115135608049"/>
          <c:y val="0.2812711431904345"/>
          <c:w val="0.40599671916010499"/>
          <c:h val="0.6066998396033829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'Analysis sheet'!$B$3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sheet'!$A$4:$A$9</c:f>
              <c:strCache>
                <c:ptCount val="5"/>
                <c:pt idx="0">
                  <c:v>Paracetamol 500mg</c:v>
                </c:pt>
                <c:pt idx="1">
                  <c:v>Metformin 500mg</c:v>
                </c:pt>
                <c:pt idx="2">
                  <c:v>Dolo 650</c:v>
                </c:pt>
                <c:pt idx="3">
                  <c:v>Pantoprazole 40mg</c:v>
                </c:pt>
                <c:pt idx="4">
                  <c:v>Azithromycin 500mg</c:v>
                </c:pt>
              </c:strCache>
            </c:strRef>
          </c:cat>
          <c:val>
            <c:numRef>
              <c:f>'Analysis sheet'!$B$4:$B$9</c:f>
              <c:numCache>
                <c:formatCode>General</c:formatCode>
                <c:ptCount val="5"/>
                <c:pt idx="0">
                  <c:v>2780</c:v>
                </c:pt>
                <c:pt idx="1">
                  <c:v>2763</c:v>
                </c:pt>
                <c:pt idx="2">
                  <c:v>2462</c:v>
                </c:pt>
                <c:pt idx="3">
                  <c:v>2287</c:v>
                </c:pt>
                <c:pt idx="4">
                  <c:v>1874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C-4DC2-9BF5-AE2DE4AD0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1664624"/>
        <c:axId val="1612219984"/>
      </c:barChart>
      <c:catAx>
        <c:axId val="1201664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219984"/>
        <c:crosses val="autoZero"/>
        <c:auto val="1"/>
        <c:lblAlgn val="ctr"/>
        <c:lblOffset val="100"/>
        <c:noMultiLvlLbl val="0"/>
      </c:catAx>
      <c:valAx>
        <c:axId val="161221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66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Top</a:t>
            </a:r>
            <a:r>
              <a:rPr lang="en-IN" sz="1600" b="1" baseline="0"/>
              <a:t> 5 Medicines By Revenue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</c:pivotFmt>
      <c:pivotFmt>
        <c:idx val="3"/>
        <c:spPr>
          <a:solidFill>
            <a:srgbClr val="7030A0"/>
          </a:solidFill>
          <a:ln>
            <a:noFill/>
          </a:ln>
          <a:effectLst/>
        </c:spPr>
      </c:pivotFmt>
      <c:pivotFmt>
        <c:idx val="4"/>
        <c:spPr>
          <a:solidFill>
            <a:srgbClr val="92D050"/>
          </a:solidFill>
          <a:ln>
            <a:noFill/>
          </a:ln>
          <a:effectLst/>
        </c:spPr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  <c:pivotFmt>
        <c:idx val="6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1E7-431C-B762-9B84DF93C937}"/>
              </c:ext>
            </c:extLst>
          </c:dPt>
          <c:dPt>
            <c:idx val="1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1E7-431C-B762-9B84DF93C937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1E7-431C-B762-9B84DF93C937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1E7-431C-B762-9B84DF93C937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1E7-431C-B762-9B84DF93C937}"/>
              </c:ext>
            </c:extLst>
          </c:dPt>
          <c:cat>
            <c:strLit>
              <c:ptCount val="5"/>
              <c:pt idx="0">
                <c:v>Azithral 500mg</c:v>
              </c:pt>
              <c:pt idx="1">
                <c:v>Augmentin 625mg</c:v>
              </c:pt>
              <c:pt idx="2">
                <c:v>Azithromycin 500mg</c:v>
              </c:pt>
              <c:pt idx="3">
                <c:v>Lipitor 10mg</c:v>
              </c:pt>
              <c:pt idx="4">
                <c:v>Zyrtec 10mg</c:v>
              </c:pt>
            </c:strLit>
          </c:cat>
          <c:val>
            <c:numLit>
              <c:formatCode>General</c:formatCode>
              <c:ptCount val="5"/>
              <c:pt idx="0">
                <c:v>14766.62</c:v>
              </c:pt>
              <c:pt idx="1">
                <c:v>13640.97</c:v>
              </c:pt>
              <c:pt idx="2">
                <c:v>11543.550000000003</c:v>
              </c:pt>
              <c:pt idx="3">
                <c:v>9285.34</c:v>
              </c:pt>
              <c:pt idx="4">
                <c:v>8506.69</c:v>
              </c:pt>
            </c:numLit>
          </c:val>
          <c:extLst>
            <c:ext xmlns:c16="http://schemas.microsoft.com/office/drawing/2014/chart" uri="{C3380CC4-5D6E-409C-BE32-E72D297353CC}">
              <c16:uniqueId val="{00000000-45B8-46B9-8DF5-890081463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0307712"/>
        <c:axId val="1612216144"/>
      </c:barChart>
      <c:catAx>
        <c:axId val="182030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216144"/>
        <c:crosses val="autoZero"/>
        <c:auto val="1"/>
        <c:lblAlgn val="ctr"/>
        <c:lblOffset val="100"/>
        <c:noMultiLvlLbl val="0"/>
      </c:catAx>
      <c:valAx>
        <c:axId val="161221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30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Monthly</a:t>
            </a:r>
            <a:r>
              <a:rPr lang="en-IN" sz="1600" b="1" baseline="0"/>
              <a:t> Revenue Trend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749202213032721"/>
          <c:y val="0.31059747739865851"/>
          <c:w val="0.55848996393436434"/>
          <c:h val="0.52146106736657916"/>
        </c:manualLayout>
      </c:layout>
      <c:lineChart>
        <c:grouping val="standard"/>
        <c:varyColors val="0"/>
        <c:ser>
          <c:idx val="0"/>
          <c:order val="0"/>
          <c:tx>
            <c:v>Sum of Revenue 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2025-07</c:v>
              </c:pt>
              <c:pt idx="1">
                <c:v>2025-08</c:v>
              </c:pt>
              <c:pt idx="2">
                <c:v>2025-09</c:v>
              </c:pt>
              <c:pt idx="3">
                <c:v>2025-10</c:v>
              </c:pt>
              <c:pt idx="4">
                <c:v>2025-11</c:v>
              </c:pt>
              <c:pt idx="5">
                <c:v>2025-12</c:v>
              </c:pt>
              <c:pt idx="6">
                <c:v>2026-01</c:v>
              </c:pt>
              <c:pt idx="7">
                <c:v>2026-02</c:v>
              </c:pt>
              <c:pt idx="8">
                <c:v>2026-03</c:v>
              </c:pt>
              <c:pt idx="9">
                <c:v>2026-04</c:v>
              </c:pt>
              <c:pt idx="10">
                <c:v>2026-05</c:v>
              </c:pt>
              <c:pt idx="11">
                <c:v>2026-06</c:v>
              </c:pt>
            </c:strLit>
          </c:cat>
          <c:val>
            <c:numLit>
              <c:formatCode>General</c:formatCode>
              <c:ptCount val="12"/>
              <c:pt idx="0">
                <c:v>12617.789999999999</c:v>
              </c:pt>
              <c:pt idx="1">
                <c:v>9831.68</c:v>
              </c:pt>
              <c:pt idx="2">
                <c:v>9360.4599999999991</c:v>
              </c:pt>
              <c:pt idx="3">
                <c:v>13545.400000000003</c:v>
              </c:pt>
              <c:pt idx="4">
                <c:v>12389.290000000003</c:v>
              </c:pt>
              <c:pt idx="5">
                <c:v>13720.970000000005</c:v>
              </c:pt>
              <c:pt idx="6">
                <c:v>12476.230000000001</c:v>
              </c:pt>
              <c:pt idx="7">
                <c:v>9046.1099999999969</c:v>
              </c:pt>
              <c:pt idx="8">
                <c:v>8326.6699999999983</c:v>
              </c:pt>
              <c:pt idx="9">
                <c:v>9984.84</c:v>
              </c:pt>
              <c:pt idx="10">
                <c:v>13493.5</c:v>
              </c:pt>
              <c:pt idx="11">
                <c:v>9507.5700000000015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96F-43AD-A0E0-969907F1A4E3}"/>
            </c:ext>
          </c:extLst>
        </c:ser>
        <c:ser>
          <c:idx val="1"/>
          <c:order val="1"/>
          <c:tx>
            <c:v>Sum of Quantity_Sold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2025-07</c:v>
              </c:pt>
              <c:pt idx="1">
                <c:v>2025-08</c:v>
              </c:pt>
              <c:pt idx="2">
                <c:v>2025-09</c:v>
              </c:pt>
              <c:pt idx="3">
                <c:v>2025-10</c:v>
              </c:pt>
              <c:pt idx="4">
                <c:v>2025-11</c:v>
              </c:pt>
              <c:pt idx="5">
                <c:v>2025-12</c:v>
              </c:pt>
              <c:pt idx="6">
                <c:v>2026-01</c:v>
              </c:pt>
              <c:pt idx="7">
                <c:v>2026-02</c:v>
              </c:pt>
              <c:pt idx="8">
                <c:v>2026-03</c:v>
              </c:pt>
              <c:pt idx="9">
                <c:v>2026-04</c:v>
              </c:pt>
              <c:pt idx="10">
                <c:v>2026-05</c:v>
              </c:pt>
              <c:pt idx="11">
                <c:v>2026-06</c:v>
              </c:pt>
            </c:strLit>
          </c:cat>
          <c:val>
            <c:numLit>
              <c:formatCode>General</c:formatCode>
              <c:ptCount val="12"/>
              <c:pt idx="0">
                <c:v>2874</c:v>
              </c:pt>
              <c:pt idx="1">
                <c:v>2382</c:v>
              </c:pt>
              <c:pt idx="2">
                <c:v>2284</c:v>
              </c:pt>
              <c:pt idx="3">
                <c:v>3078</c:v>
              </c:pt>
              <c:pt idx="4">
                <c:v>2750</c:v>
              </c:pt>
              <c:pt idx="5">
                <c:v>2784</c:v>
              </c:pt>
              <c:pt idx="6">
                <c:v>2814</c:v>
              </c:pt>
              <c:pt idx="7">
                <c:v>2312</c:v>
              </c:pt>
              <c:pt idx="8">
                <c:v>2153</c:v>
              </c:pt>
              <c:pt idx="9">
                <c:v>2190</c:v>
              </c:pt>
              <c:pt idx="10">
                <c:v>2798</c:v>
              </c:pt>
              <c:pt idx="11">
                <c:v>2599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96F-43AD-A0E0-969907F1A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305392"/>
        <c:axId val="1612220944"/>
      </c:lineChart>
      <c:catAx>
        <c:axId val="182030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220944"/>
        <c:crosses val="autoZero"/>
        <c:auto val="1"/>
        <c:lblAlgn val="ctr"/>
        <c:lblOffset val="100"/>
        <c:noMultiLvlLbl val="0"/>
      </c:catAx>
      <c:valAx>
        <c:axId val="161222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30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Monthly</a:t>
            </a:r>
            <a:r>
              <a:rPr lang="en-US" sz="1600" b="1" baseline="0"/>
              <a:t> Sales Growth(%)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2025-07</c:v>
              </c:pt>
              <c:pt idx="1">
                <c:v>2025-08</c:v>
              </c:pt>
              <c:pt idx="2">
                <c:v>2025-09</c:v>
              </c:pt>
              <c:pt idx="3">
                <c:v>2025-10</c:v>
              </c:pt>
              <c:pt idx="4">
                <c:v>2025-11</c:v>
              </c:pt>
              <c:pt idx="5">
                <c:v>2025-12</c:v>
              </c:pt>
              <c:pt idx="6">
                <c:v>2026-01</c:v>
              </c:pt>
              <c:pt idx="7">
                <c:v>2026-02</c:v>
              </c:pt>
              <c:pt idx="8">
                <c:v>2026-03</c:v>
              </c:pt>
              <c:pt idx="9">
                <c:v>2026-04</c:v>
              </c:pt>
              <c:pt idx="10">
                <c:v>2026-05</c:v>
              </c:pt>
              <c:pt idx="11">
                <c:v>2026-06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-0.22080808128840304</c:v>
              </c:pt>
              <c:pt idx="2">
                <c:v>-4.7928736492644307E-2</c:v>
              </c:pt>
              <c:pt idx="3">
                <c:v>0.44708700213451097</c:v>
              </c:pt>
              <c:pt idx="4">
                <c:v>-8.5350746378844503E-2</c:v>
              </c:pt>
              <c:pt idx="5">
                <c:v>0.1074863854183736</c:v>
              </c:pt>
              <c:pt idx="6">
                <c:v>-9.0718076054389959E-2</c:v>
              </c:pt>
              <c:pt idx="7">
                <c:v>-0.27493241147365866</c:v>
              </c:pt>
              <c:pt idx="8">
                <c:v>-7.9530317451368487E-2</c:v>
              </c:pt>
              <c:pt idx="9">
                <c:v>0.19913963204978727</c:v>
              </c:pt>
              <c:pt idx="10">
                <c:v>0.3513987204602177</c:v>
              </c:pt>
              <c:pt idx="11">
                <c:v>-0.29539630192314809</c:v>
              </c:pt>
            </c:numLit>
          </c:val>
          <c:extLst>
            <c:ext xmlns:c16="http://schemas.microsoft.com/office/drawing/2014/chart" uri="{C3380CC4-5D6E-409C-BE32-E72D297353CC}">
              <c16:uniqueId val="{00000000-65C9-46D7-9E96-79AFA464C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16981760"/>
        <c:axId val="1612215184"/>
      </c:barChart>
      <c:catAx>
        <c:axId val="181698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215184"/>
        <c:crosses val="autoZero"/>
        <c:auto val="1"/>
        <c:lblAlgn val="ctr"/>
        <c:lblOffset val="100"/>
        <c:noMultiLvlLbl val="0"/>
      </c:catAx>
      <c:valAx>
        <c:axId val="161221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98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Branded</a:t>
            </a:r>
            <a:r>
              <a:rPr lang="en-IN" baseline="0"/>
              <a:t> Vs Generic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170-4574-B6A4-8BBA85C3EC19}"/>
              </c:ext>
            </c:extLst>
          </c:dPt>
          <c:cat>
            <c:numLit>
              <c:formatCode>General</c:formatCode>
              <c:ptCount val="2"/>
              <c:pt idx="0">
                <c:v>1</c:v>
              </c:pt>
              <c:pt idx="1">
                <c:v>2</c:v>
              </c:pt>
            </c:numLit>
          </c:cat>
          <c:val>
            <c:numLit>
              <c:formatCode>General</c:formatCode>
              <c:ptCount val="2"/>
              <c:pt idx="0">
                <c:v>84283.660000000047</c:v>
              </c:pt>
              <c:pt idx="1">
                <c:v>50016.849999999977</c:v>
              </c:pt>
            </c:numLit>
          </c:val>
          <c:extLst>
            <c:ext xmlns:c16="http://schemas.microsoft.com/office/drawing/2014/chart" uri="{C3380CC4-5D6E-409C-BE32-E72D297353CC}">
              <c16:uniqueId val="{00000000-0484-43ED-A26A-8061A0D79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6997936"/>
        <c:axId val="1831065232"/>
      </c:barChart>
      <c:catAx>
        <c:axId val="183699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065232"/>
        <c:crosses val="autoZero"/>
        <c:auto val="1"/>
        <c:lblAlgn val="ctr"/>
        <c:lblOffset val="100"/>
        <c:noMultiLvlLbl val="0"/>
      </c:catAx>
      <c:valAx>
        <c:axId val="183106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99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Revenue</a:t>
            </a:r>
            <a:r>
              <a:rPr lang="en-IN" sz="1600" b="1" baseline="0"/>
              <a:t> by Medicine Category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₹1.00</c:v>
              </c:pt>
              <c:pt idx="1">
                <c:v>₹2.00</c:v>
              </c:pt>
              <c:pt idx="2">
                <c:v>₹3.00</c:v>
              </c:pt>
              <c:pt idx="3">
                <c:v>₹4.00</c:v>
              </c:pt>
              <c:pt idx="4">
                <c:v>₹5.00</c:v>
              </c:pt>
              <c:pt idx="5">
                <c:v>₹6.00</c:v>
              </c:pt>
            </c:strLit>
          </c:cat>
          <c:val>
            <c:numLit>
              <c:formatCode>General</c:formatCode>
              <c:ptCount val="6"/>
              <c:pt idx="0">
                <c:v>27255.949999999993</c:v>
              </c:pt>
              <c:pt idx="1">
                <c:v>43766.540000000008</c:v>
              </c:pt>
              <c:pt idx="2">
                <c:v>18618.46</c:v>
              </c:pt>
              <c:pt idx="3">
                <c:v>11083</c:v>
              </c:pt>
              <c:pt idx="4">
                <c:v>13764.189999999999</c:v>
              </c:pt>
              <c:pt idx="5">
                <c:v>19812.369999999995</c:v>
              </c:pt>
            </c:numLit>
          </c:val>
          <c:extLst>
            <c:ext xmlns:c16="http://schemas.microsoft.com/office/drawing/2014/chart" uri="{C3380CC4-5D6E-409C-BE32-E72D297353CC}">
              <c16:uniqueId val="{00000000-BD7A-4F0D-9B4C-F730A5DAA5BA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</c:strLit>
          </c:cat>
          <c:val>
            <c:numLit>
              <c:formatCode>General</c:formatCode>
              <c:ptCount val="6"/>
              <c:pt idx="0">
                <c:v>8181</c:v>
              </c:pt>
              <c:pt idx="1">
                <c:v>4939</c:v>
              </c:pt>
              <c:pt idx="2">
                <c:v>5964</c:v>
              </c:pt>
              <c:pt idx="3">
                <c:v>3372</c:v>
              </c:pt>
              <c:pt idx="4">
                <c:v>2926</c:v>
              </c:pt>
              <c:pt idx="5">
                <c:v>5636</c:v>
              </c:pt>
            </c:numLit>
          </c:val>
          <c:extLst>
            <c:ext xmlns:c16="http://schemas.microsoft.com/office/drawing/2014/chart" uri="{C3380CC4-5D6E-409C-BE32-E72D297353CC}">
              <c16:uniqueId val="{00000001-BD7A-4F0D-9B4C-F730A5DAA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4180880"/>
        <c:axId val="1831051792"/>
      </c:barChart>
      <c:catAx>
        <c:axId val="1834180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051792"/>
        <c:crosses val="autoZero"/>
        <c:auto val="1"/>
        <c:lblAlgn val="ctr"/>
        <c:lblOffset val="100"/>
        <c:noMultiLvlLbl val="0"/>
      </c:catAx>
      <c:valAx>
        <c:axId val="183105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2822</xdr:colOff>
      <xdr:row>7</xdr:row>
      <xdr:rowOff>13288</xdr:rowOff>
    </xdr:from>
    <xdr:to>
      <xdr:col>5</xdr:col>
      <xdr:colOff>1681574</xdr:colOff>
      <xdr:row>22</xdr:row>
      <xdr:rowOff>147461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F06176-3B28-6120-1A54-9F9435DC5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2407355</xdr:colOff>
      <xdr:row>7</xdr:row>
      <xdr:rowOff>11759</xdr:rowOff>
    </xdr:from>
    <xdr:to>
      <xdr:col>12</xdr:col>
      <xdr:colOff>341018</xdr:colOff>
      <xdr:row>23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BF2CF8D-072E-58C3-8C77-6BE5A21DB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20932</xdr:colOff>
      <xdr:row>25</xdr:row>
      <xdr:rowOff>168274</xdr:rowOff>
    </xdr:from>
    <xdr:to>
      <xdr:col>5</xdr:col>
      <xdr:colOff>881945</xdr:colOff>
      <xdr:row>44</xdr:row>
      <xdr:rowOff>126999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F790AEA9-C5A0-4E1A-DAE7-A024DBE4E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2434987</xdr:colOff>
      <xdr:row>26</xdr:row>
      <xdr:rowOff>48448</xdr:rowOff>
    </xdr:from>
    <xdr:to>
      <xdr:col>12</xdr:col>
      <xdr:colOff>246942</xdr:colOff>
      <xdr:row>45</xdr:row>
      <xdr:rowOff>10348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95E8FA94-BFD9-0785-4472-AB2F0BCB7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25870</xdr:colOff>
      <xdr:row>49</xdr:row>
      <xdr:rowOff>186385</xdr:rowOff>
    </xdr:from>
    <xdr:to>
      <xdr:col>5</xdr:col>
      <xdr:colOff>152165</xdr:colOff>
      <xdr:row>64</xdr:row>
      <xdr:rowOff>167334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E3217F6E-D051-A33D-3821-DEE1A03FA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1681575</xdr:colOff>
      <xdr:row>48</xdr:row>
      <xdr:rowOff>23333</xdr:rowOff>
    </xdr:from>
    <xdr:to>
      <xdr:col>12</xdr:col>
      <xdr:colOff>576204</xdr:colOff>
      <xdr:row>68</xdr:row>
      <xdr:rowOff>82314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3E27F575-5AB8-CDD7-24F5-B53237C7C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hana E" refreshedDate="46262.562585532411" createdVersion="8" refreshedVersion="8" minRefreshableVersion="3" recordCount="600" xr:uid="{328FD0E3-2E06-4147-9F3D-BFBDB07C1923}">
  <cacheSource type="worksheet">
    <worksheetSource name="Table1"/>
  </cacheSource>
  <cacheFields count="9">
    <cacheField name="Transaction_ID" numFmtId="0">
      <sharedItems containsSemiMixedTypes="0" containsString="0" containsNumber="1" containsInteger="1" minValue="1" maxValue="600"/>
    </cacheField>
    <cacheField name="Date" numFmtId="165">
      <sharedItems containsSemiMixedTypes="0" containsNonDate="0" containsDate="1" containsString="0" minDate="2025-07-01T00:00:00" maxDate="2026-07-01T00:00:00"/>
    </cacheField>
    <cacheField name="Medicine" numFmtId="0">
      <sharedItems count="20">
        <s v="Azithral 500mg"/>
        <s v="Metformin 500mg"/>
        <s v="Pantoprazole 40mg"/>
        <s v="Azithromycin 500mg"/>
        <s v="Ibuprofen 400mg"/>
        <s v="Zyrtec 10mg"/>
        <s v="Pantocid 40mg"/>
        <s v="Augmentin 625mg"/>
        <s v="Omeprazole 20mg"/>
        <s v="Atorvastatin 10mg"/>
        <s v="Paracetamol 500mg"/>
        <s v="Cetirizine 10mg"/>
        <s v="Glycomet 500mg"/>
        <s v="Amaryl 1mg"/>
        <s v="Dolo 650"/>
        <s v="Brufen 400"/>
        <s v="Amoxicillin 500mg"/>
        <s v="Omez 20mg"/>
        <s v="Glimepiride 1mg"/>
        <s v="Lipitor 10mg"/>
      </sharedItems>
    </cacheField>
    <cacheField name="Category" numFmtId="0">
      <sharedItems count="6">
        <s v="Antibiotic"/>
        <s v="Antidiabetic"/>
        <s v="Gastrointestinal"/>
        <s v="Analgesic"/>
        <s v="Antihistamine"/>
        <s v="Cardiovascular"/>
      </sharedItems>
    </cacheField>
    <cacheField name="Type" numFmtId="0">
      <sharedItems count="2">
        <s v="Branded"/>
        <s v="Generic"/>
      </sharedItems>
    </cacheField>
    <cacheField name="Quantity_Sold" numFmtId="0">
      <sharedItems containsSemiMixedTypes="0" containsString="0" containsNumber="1" containsInteger="1" minValue="5" maxValue="117"/>
    </cacheField>
    <cacheField name="Unit_Price" numFmtId="164">
      <sharedItems containsSemiMixedTypes="0" containsString="0" containsNumber="1" minValue="1.44" maxValue="16.14"/>
    </cacheField>
    <cacheField name="Revenue " numFmtId="164">
      <sharedItems containsSemiMixedTypes="0" containsString="0" containsNumber="1" minValue="10.5" maxValue="1043.8"/>
    </cacheField>
    <cacheField name="Month" numFmtId="0">
      <sharedItems count="12">
        <s v="2025-07"/>
        <s v="2025-08"/>
        <s v="2025-09"/>
        <s v="2025-10"/>
        <s v="2025-11"/>
        <s v="2025-12"/>
        <s v="2026-01"/>
        <s v="2026-02"/>
        <s v="2026-03"/>
        <s v="2026-04"/>
        <s v="2026-05"/>
        <s v="2026-06"/>
      </sharedItems>
    </cacheField>
  </cacheFields>
  <extLst>
    <ext xmlns:x14="http://schemas.microsoft.com/office/spreadsheetml/2009/9/main" uri="{725AE2AE-9491-48be-B2B4-4EB974FC3084}">
      <x14:pivotCacheDefinition pivotCacheId="60054972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hana E" refreshedDate="46262.603903587966" createdVersion="8" refreshedVersion="8" minRefreshableVersion="3" recordCount="12" xr:uid="{17133E32-432C-41A8-9EE5-6DDDAE256929}">
  <cacheSource type="worksheet">
    <worksheetSource name="Table2"/>
  </cacheSource>
  <cacheFields count="2">
    <cacheField name="Row Labels" numFmtId="0">
      <sharedItems count="12">
        <s v="2025-07"/>
        <s v="2025-08"/>
        <s v="2025-09"/>
        <s v="2025-10"/>
        <s v="2025-11"/>
        <s v="2025-12"/>
        <s v="2026-01"/>
        <s v="2026-02"/>
        <s v="2026-03"/>
        <s v="2026-04"/>
        <s v="2026-05"/>
        <s v="2026-06"/>
      </sharedItems>
    </cacheField>
    <cacheField name="Growth %" numFmtId="10">
      <sharedItems containsString="0" containsBlank="1" containsNumber="1" minValue="-0.29539630192314809" maxValue="0.447087002134510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n v="102"/>
    <d v="2025-07-01T00:00:00"/>
    <x v="0"/>
    <x v="0"/>
    <x v="0"/>
    <n v="34"/>
    <n v="11.47"/>
    <n v="389.98"/>
    <x v="0"/>
  </r>
  <r>
    <n v="146"/>
    <d v="2025-07-01T00:00:00"/>
    <x v="1"/>
    <x v="1"/>
    <x v="1"/>
    <n v="40"/>
    <n v="1.85"/>
    <n v="74"/>
    <x v="0"/>
  </r>
  <r>
    <n v="172"/>
    <d v="2025-07-01T00:00:00"/>
    <x v="2"/>
    <x v="2"/>
    <x v="1"/>
    <n v="47"/>
    <n v="2.2000000000000002"/>
    <n v="103.4"/>
    <x v="0"/>
  </r>
  <r>
    <n v="286"/>
    <d v="2025-07-02T00:00:00"/>
    <x v="3"/>
    <x v="0"/>
    <x v="1"/>
    <n v="77"/>
    <n v="6.08"/>
    <n v="468.16"/>
    <x v="0"/>
  </r>
  <r>
    <n v="274"/>
    <d v="2025-07-03T00:00:00"/>
    <x v="4"/>
    <x v="3"/>
    <x v="1"/>
    <n v="76"/>
    <n v="3.02"/>
    <n v="229.52"/>
    <x v="0"/>
  </r>
  <r>
    <n v="314"/>
    <d v="2025-07-03T00:00:00"/>
    <x v="5"/>
    <x v="4"/>
    <x v="0"/>
    <n v="72"/>
    <n v="5.0599999999999996"/>
    <n v="364.32"/>
    <x v="0"/>
  </r>
  <r>
    <n v="562"/>
    <d v="2025-07-03T00:00:00"/>
    <x v="6"/>
    <x v="2"/>
    <x v="0"/>
    <n v="42"/>
    <n v="6.01"/>
    <n v="252.42"/>
    <x v="0"/>
  </r>
  <r>
    <n v="143"/>
    <d v="2025-07-04T00:00:00"/>
    <x v="7"/>
    <x v="0"/>
    <x v="0"/>
    <n v="31"/>
    <n v="15.55"/>
    <n v="482.05"/>
    <x v="0"/>
  </r>
  <r>
    <n v="196"/>
    <d v="2025-07-04T00:00:00"/>
    <x v="8"/>
    <x v="2"/>
    <x v="1"/>
    <n v="47"/>
    <n v="2.08"/>
    <n v="97.76"/>
    <x v="0"/>
  </r>
  <r>
    <n v="575"/>
    <d v="2025-07-04T00:00:00"/>
    <x v="9"/>
    <x v="5"/>
    <x v="1"/>
    <n v="64"/>
    <n v="2.4"/>
    <n v="153.6"/>
    <x v="0"/>
  </r>
  <r>
    <n v="522"/>
    <d v="2025-07-05T00:00:00"/>
    <x v="8"/>
    <x v="2"/>
    <x v="1"/>
    <n v="54"/>
    <n v="2.02"/>
    <n v="109.08"/>
    <x v="0"/>
  </r>
  <r>
    <n v="252"/>
    <d v="2025-07-07T00:00:00"/>
    <x v="7"/>
    <x v="0"/>
    <x v="0"/>
    <n v="51"/>
    <n v="14.98"/>
    <n v="763.98"/>
    <x v="0"/>
  </r>
  <r>
    <n v="504"/>
    <d v="2025-07-07T00:00:00"/>
    <x v="10"/>
    <x v="3"/>
    <x v="1"/>
    <n v="110"/>
    <n v="2.62"/>
    <n v="288.2"/>
    <x v="0"/>
  </r>
  <r>
    <n v="104"/>
    <d v="2025-07-08T00:00:00"/>
    <x v="11"/>
    <x v="4"/>
    <x v="1"/>
    <n v="72"/>
    <n v="1.49"/>
    <n v="107.28"/>
    <x v="0"/>
  </r>
  <r>
    <n v="301"/>
    <d v="2025-07-08T00:00:00"/>
    <x v="4"/>
    <x v="3"/>
    <x v="1"/>
    <n v="42"/>
    <n v="2.94"/>
    <n v="123.48"/>
    <x v="0"/>
  </r>
  <r>
    <n v="590"/>
    <d v="2025-07-08T00:00:00"/>
    <x v="3"/>
    <x v="0"/>
    <x v="1"/>
    <n v="52"/>
    <n v="6.3"/>
    <n v="327.60000000000002"/>
    <x v="0"/>
  </r>
  <r>
    <n v="39"/>
    <d v="2025-07-09T00:00:00"/>
    <x v="12"/>
    <x v="1"/>
    <x v="0"/>
    <n v="54"/>
    <n v="4.79"/>
    <n v="258.66000000000003"/>
    <x v="0"/>
  </r>
  <r>
    <n v="90"/>
    <d v="2025-07-09T00:00:00"/>
    <x v="3"/>
    <x v="0"/>
    <x v="1"/>
    <n v="62"/>
    <n v="6.38"/>
    <n v="395.56"/>
    <x v="0"/>
  </r>
  <r>
    <n v="271"/>
    <d v="2025-07-09T00:00:00"/>
    <x v="2"/>
    <x v="2"/>
    <x v="1"/>
    <n v="27"/>
    <n v="2.36"/>
    <n v="63.72"/>
    <x v="0"/>
  </r>
  <r>
    <n v="396"/>
    <d v="2025-07-10T00:00:00"/>
    <x v="2"/>
    <x v="2"/>
    <x v="1"/>
    <n v="39"/>
    <n v="2.14"/>
    <n v="83.46"/>
    <x v="0"/>
  </r>
  <r>
    <n v="190"/>
    <d v="2025-07-11T00:00:00"/>
    <x v="7"/>
    <x v="0"/>
    <x v="0"/>
    <n v="41"/>
    <n v="14.96"/>
    <n v="613.36"/>
    <x v="0"/>
  </r>
  <r>
    <n v="332"/>
    <d v="2025-07-11T00:00:00"/>
    <x v="1"/>
    <x v="1"/>
    <x v="1"/>
    <n v="41"/>
    <n v="1.86"/>
    <n v="76.260000000000005"/>
    <x v="0"/>
  </r>
  <r>
    <n v="385"/>
    <d v="2025-07-11T00:00:00"/>
    <x v="12"/>
    <x v="1"/>
    <x v="0"/>
    <n v="26"/>
    <n v="4.53"/>
    <n v="117.78"/>
    <x v="0"/>
  </r>
  <r>
    <n v="103"/>
    <d v="2025-07-12T00:00:00"/>
    <x v="9"/>
    <x v="5"/>
    <x v="1"/>
    <n v="53"/>
    <n v="2.58"/>
    <n v="136.74"/>
    <x v="0"/>
  </r>
  <r>
    <n v="211"/>
    <d v="2025-07-12T00:00:00"/>
    <x v="3"/>
    <x v="0"/>
    <x v="1"/>
    <n v="69"/>
    <n v="6.21"/>
    <n v="428.49"/>
    <x v="0"/>
  </r>
  <r>
    <n v="275"/>
    <d v="2025-07-12T00:00:00"/>
    <x v="4"/>
    <x v="3"/>
    <x v="1"/>
    <n v="49"/>
    <n v="3.23"/>
    <n v="158.27000000000001"/>
    <x v="0"/>
  </r>
  <r>
    <n v="297"/>
    <d v="2025-07-12T00:00:00"/>
    <x v="13"/>
    <x v="1"/>
    <x v="0"/>
    <n v="80"/>
    <n v="6.19"/>
    <n v="495.2"/>
    <x v="0"/>
  </r>
  <r>
    <n v="398"/>
    <d v="2025-07-12T00:00:00"/>
    <x v="10"/>
    <x v="3"/>
    <x v="1"/>
    <n v="56"/>
    <n v="2.62"/>
    <n v="146.72"/>
    <x v="0"/>
  </r>
  <r>
    <n v="523"/>
    <d v="2025-07-12T00:00:00"/>
    <x v="14"/>
    <x v="3"/>
    <x v="0"/>
    <n v="51"/>
    <n v="3.24"/>
    <n v="165.24"/>
    <x v="0"/>
  </r>
  <r>
    <n v="547"/>
    <d v="2025-07-12T00:00:00"/>
    <x v="0"/>
    <x v="0"/>
    <x v="0"/>
    <n v="55"/>
    <n v="11.82"/>
    <n v="650.1"/>
    <x v="0"/>
  </r>
  <r>
    <n v="21"/>
    <d v="2025-07-13T00:00:00"/>
    <x v="1"/>
    <x v="1"/>
    <x v="1"/>
    <n v="64"/>
    <n v="1.91"/>
    <n v="122.24"/>
    <x v="0"/>
  </r>
  <r>
    <n v="246"/>
    <d v="2025-07-13T00:00:00"/>
    <x v="12"/>
    <x v="1"/>
    <x v="0"/>
    <n v="60"/>
    <n v="4.5999999999999996"/>
    <n v="276"/>
    <x v="0"/>
  </r>
  <r>
    <n v="539"/>
    <d v="2025-07-16T00:00:00"/>
    <x v="14"/>
    <x v="3"/>
    <x v="0"/>
    <n v="71"/>
    <n v="3.33"/>
    <n v="236.43"/>
    <x v="0"/>
  </r>
  <r>
    <n v="210"/>
    <d v="2025-07-17T00:00:00"/>
    <x v="8"/>
    <x v="2"/>
    <x v="1"/>
    <n v="44"/>
    <n v="2.04"/>
    <n v="89.76"/>
    <x v="0"/>
  </r>
  <r>
    <n v="250"/>
    <d v="2025-07-17T00:00:00"/>
    <x v="10"/>
    <x v="3"/>
    <x v="1"/>
    <n v="58"/>
    <n v="2.56"/>
    <n v="148.47999999999999"/>
    <x v="0"/>
  </r>
  <r>
    <n v="373"/>
    <d v="2025-07-17T00:00:00"/>
    <x v="9"/>
    <x v="5"/>
    <x v="1"/>
    <n v="60"/>
    <n v="2.46"/>
    <n v="147.6"/>
    <x v="0"/>
  </r>
  <r>
    <n v="428"/>
    <d v="2025-07-17T00:00:00"/>
    <x v="14"/>
    <x v="3"/>
    <x v="0"/>
    <n v="47"/>
    <n v="3.23"/>
    <n v="151.81"/>
    <x v="0"/>
  </r>
  <r>
    <n v="284"/>
    <d v="2025-07-18T00:00:00"/>
    <x v="3"/>
    <x v="0"/>
    <x v="1"/>
    <n v="30"/>
    <n v="5.88"/>
    <n v="176.4"/>
    <x v="0"/>
  </r>
  <r>
    <n v="389"/>
    <d v="2025-07-18T00:00:00"/>
    <x v="15"/>
    <x v="3"/>
    <x v="0"/>
    <n v="21"/>
    <n v="5.26"/>
    <n v="110.46"/>
    <x v="0"/>
  </r>
  <r>
    <n v="399"/>
    <d v="2025-07-20T00:00:00"/>
    <x v="16"/>
    <x v="0"/>
    <x v="1"/>
    <n v="53"/>
    <n v="4.0599999999999996"/>
    <n v="215.18"/>
    <x v="0"/>
  </r>
  <r>
    <n v="45"/>
    <d v="2025-07-22T00:00:00"/>
    <x v="2"/>
    <x v="2"/>
    <x v="1"/>
    <n v="54"/>
    <n v="2.35"/>
    <n v="126.9"/>
    <x v="0"/>
  </r>
  <r>
    <n v="112"/>
    <d v="2025-07-23T00:00:00"/>
    <x v="17"/>
    <x v="2"/>
    <x v="0"/>
    <n v="49"/>
    <n v="5.77"/>
    <n v="282.73"/>
    <x v="0"/>
  </r>
  <r>
    <n v="166"/>
    <d v="2025-07-23T00:00:00"/>
    <x v="1"/>
    <x v="1"/>
    <x v="1"/>
    <n v="60"/>
    <n v="1.85"/>
    <n v="111"/>
    <x v="0"/>
  </r>
  <r>
    <n v="544"/>
    <d v="2025-07-23T00:00:00"/>
    <x v="2"/>
    <x v="2"/>
    <x v="1"/>
    <n v="61"/>
    <n v="2.27"/>
    <n v="138.47"/>
    <x v="0"/>
  </r>
  <r>
    <n v="401"/>
    <d v="2025-07-24T00:00:00"/>
    <x v="14"/>
    <x v="3"/>
    <x v="0"/>
    <n v="37"/>
    <n v="3.2"/>
    <n v="118.4"/>
    <x v="0"/>
  </r>
  <r>
    <n v="567"/>
    <d v="2025-07-24T00:00:00"/>
    <x v="0"/>
    <x v="0"/>
    <x v="0"/>
    <n v="43"/>
    <n v="12.59"/>
    <n v="541.37"/>
    <x v="0"/>
  </r>
  <r>
    <n v="87"/>
    <d v="2025-07-25T00:00:00"/>
    <x v="8"/>
    <x v="2"/>
    <x v="1"/>
    <n v="68"/>
    <n v="2.11"/>
    <n v="143.47999999999999"/>
    <x v="0"/>
  </r>
  <r>
    <n v="208"/>
    <d v="2025-07-25T00:00:00"/>
    <x v="14"/>
    <x v="3"/>
    <x v="0"/>
    <n v="32"/>
    <n v="3.07"/>
    <n v="98.24"/>
    <x v="0"/>
  </r>
  <r>
    <n v="356"/>
    <d v="2025-07-25T00:00:00"/>
    <x v="18"/>
    <x v="1"/>
    <x v="1"/>
    <n v="49"/>
    <n v="2.11"/>
    <n v="103.39"/>
    <x v="0"/>
  </r>
  <r>
    <n v="357"/>
    <d v="2025-07-25T00:00:00"/>
    <x v="19"/>
    <x v="5"/>
    <x v="0"/>
    <n v="54"/>
    <n v="8.0500000000000007"/>
    <n v="434.7"/>
    <x v="0"/>
  </r>
  <r>
    <n v="46"/>
    <d v="2025-07-27T00:00:00"/>
    <x v="18"/>
    <x v="1"/>
    <x v="1"/>
    <n v="62"/>
    <n v="2.27"/>
    <n v="140.74"/>
    <x v="0"/>
  </r>
  <r>
    <n v="15"/>
    <d v="2025-07-28T00:00:00"/>
    <x v="3"/>
    <x v="0"/>
    <x v="1"/>
    <n v="38"/>
    <n v="5.99"/>
    <n v="227.62"/>
    <x v="0"/>
  </r>
  <r>
    <n v="22"/>
    <d v="2025-07-28T00:00:00"/>
    <x v="4"/>
    <x v="3"/>
    <x v="1"/>
    <n v="75"/>
    <n v="3.2"/>
    <n v="240"/>
    <x v="0"/>
  </r>
  <r>
    <n v="131"/>
    <d v="2025-07-28T00:00:00"/>
    <x v="11"/>
    <x v="4"/>
    <x v="1"/>
    <n v="70"/>
    <n v="1.6"/>
    <n v="112"/>
    <x v="0"/>
  </r>
  <r>
    <n v="17"/>
    <d v="2025-08-04T00:00:00"/>
    <x v="18"/>
    <x v="1"/>
    <x v="1"/>
    <n v="38"/>
    <n v="2.16"/>
    <n v="82.08"/>
    <x v="1"/>
  </r>
  <r>
    <n v="324"/>
    <d v="2025-08-05T00:00:00"/>
    <x v="11"/>
    <x v="4"/>
    <x v="1"/>
    <n v="43"/>
    <n v="1.58"/>
    <n v="67.94"/>
    <x v="1"/>
  </r>
  <r>
    <n v="336"/>
    <d v="2025-08-05T00:00:00"/>
    <x v="6"/>
    <x v="2"/>
    <x v="0"/>
    <n v="74"/>
    <n v="6.16"/>
    <n v="455.84"/>
    <x v="1"/>
  </r>
  <r>
    <n v="342"/>
    <d v="2025-08-05T00:00:00"/>
    <x v="4"/>
    <x v="3"/>
    <x v="1"/>
    <n v="43"/>
    <n v="3.12"/>
    <n v="134.16"/>
    <x v="1"/>
  </r>
  <r>
    <n v="534"/>
    <d v="2025-08-06T00:00:00"/>
    <x v="16"/>
    <x v="0"/>
    <x v="1"/>
    <n v="48"/>
    <n v="4.2"/>
    <n v="201.6"/>
    <x v="1"/>
  </r>
  <r>
    <n v="150"/>
    <d v="2025-08-07T00:00:00"/>
    <x v="12"/>
    <x v="1"/>
    <x v="0"/>
    <n v="58"/>
    <n v="4.82"/>
    <n v="279.56"/>
    <x v="1"/>
  </r>
  <r>
    <n v="134"/>
    <d v="2025-08-08T00:00:00"/>
    <x v="15"/>
    <x v="3"/>
    <x v="0"/>
    <n v="36"/>
    <n v="5.46"/>
    <n v="196.56"/>
    <x v="1"/>
  </r>
  <r>
    <n v="323"/>
    <d v="2025-08-08T00:00:00"/>
    <x v="4"/>
    <x v="3"/>
    <x v="1"/>
    <n v="72"/>
    <n v="2.92"/>
    <n v="210.24"/>
    <x v="1"/>
  </r>
  <r>
    <n v="458"/>
    <d v="2025-08-08T00:00:00"/>
    <x v="16"/>
    <x v="0"/>
    <x v="1"/>
    <n v="58"/>
    <n v="4.1500000000000004"/>
    <n v="240.7"/>
    <x v="1"/>
  </r>
  <r>
    <n v="195"/>
    <d v="2025-08-09T00:00:00"/>
    <x v="6"/>
    <x v="2"/>
    <x v="0"/>
    <n v="33"/>
    <n v="6.35"/>
    <n v="209.55"/>
    <x v="1"/>
  </r>
  <r>
    <n v="558"/>
    <d v="2025-08-10T00:00:00"/>
    <x v="11"/>
    <x v="4"/>
    <x v="1"/>
    <n v="52"/>
    <n v="1.47"/>
    <n v="76.44"/>
    <x v="1"/>
  </r>
  <r>
    <n v="372"/>
    <d v="2025-08-11T00:00:00"/>
    <x v="0"/>
    <x v="0"/>
    <x v="0"/>
    <n v="75"/>
    <n v="12.89"/>
    <n v="966.75"/>
    <x v="1"/>
  </r>
  <r>
    <n v="316"/>
    <d v="2025-08-12T00:00:00"/>
    <x v="5"/>
    <x v="4"/>
    <x v="0"/>
    <n v="48"/>
    <n v="5.24"/>
    <n v="251.52"/>
    <x v="1"/>
  </r>
  <r>
    <n v="76"/>
    <d v="2025-08-13T00:00:00"/>
    <x v="15"/>
    <x v="3"/>
    <x v="0"/>
    <n v="43"/>
    <n v="5.49"/>
    <n v="236.07"/>
    <x v="1"/>
  </r>
  <r>
    <n v="127"/>
    <d v="2025-08-15T00:00:00"/>
    <x v="14"/>
    <x v="3"/>
    <x v="0"/>
    <n v="23"/>
    <n v="3.08"/>
    <n v="70.84"/>
    <x v="1"/>
  </r>
  <r>
    <n v="460"/>
    <d v="2025-08-15T00:00:00"/>
    <x v="15"/>
    <x v="3"/>
    <x v="0"/>
    <n v="79"/>
    <n v="5.5"/>
    <n v="434.5"/>
    <x v="1"/>
  </r>
  <r>
    <n v="582"/>
    <d v="2025-08-15T00:00:00"/>
    <x v="2"/>
    <x v="2"/>
    <x v="1"/>
    <n v="77"/>
    <n v="2.36"/>
    <n v="181.72"/>
    <x v="1"/>
  </r>
  <r>
    <n v="128"/>
    <d v="2025-08-16T00:00:00"/>
    <x v="5"/>
    <x v="4"/>
    <x v="0"/>
    <n v="24"/>
    <n v="4.8499999999999996"/>
    <n v="116.4"/>
    <x v="1"/>
  </r>
  <r>
    <n v="230"/>
    <d v="2025-08-16T00:00:00"/>
    <x v="5"/>
    <x v="4"/>
    <x v="0"/>
    <n v="66"/>
    <n v="5.14"/>
    <n v="339.24"/>
    <x v="1"/>
  </r>
  <r>
    <n v="505"/>
    <d v="2025-08-16T00:00:00"/>
    <x v="12"/>
    <x v="1"/>
    <x v="0"/>
    <n v="5"/>
    <n v="4.28"/>
    <n v="21.4"/>
    <x v="1"/>
  </r>
  <r>
    <n v="129"/>
    <d v="2025-08-17T00:00:00"/>
    <x v="1"/>
    <x v="1"/>
    <x v="1"/>
    <n v="66"/>
    <n v="1.75"/>
    <n v="115.5"/>
    <x v="1"/>
  </r>
  <r>
    <n v="587"/>
    <d v="2025-08-17T00:00:00"/>
    <x v="1"/>
    <x v="1"/>
    <x v="1"/>
    <n v="91"/>
    <n v="1.73"/>
    <n v="157.43"/>
    <x v="1"/>
  </r>
  <r>
    <n v="330"/>
    <d v="2025-08-18T00:00:00"/>
    <x v="3"/>
    <x v="0"/>
    <x v="1"/>
    <n v="34"/>
    <n v="6.07"/>
    <n v="206.38"/>
    <x v="1"/>
  </r>
  <r>
    <n v="351"/>
    <d v="2025-08-18T00:00:00"/>
    <x v="5"/>
    <x v="4"/>
    <x v="0"/>
    <n v="71"/>
    <n v="5.0999999999999996"/>
    <n v="362.1"/>
    <x v="1"/>
  </r>
  <r>
    <n v="382"/>
    <d v="2025-08-18T00:00:00"/>
    <x v="2"/>
    <x v="2"/>
    <x v="1"/>
    <n v="78"/>
    <n v="2.31"/>
    <n v="180.18"/>
    <x v="1"/>
  </r>
  <r>
    <n v="499"/>
    <d v="2025-08-18T00:00:00"/>
    <x v="3"/>
    <x v="0"/>
    <x v="1"/>
    <n v="43"/>
    <n v="6.22"/>
    <n v="267.45999999999998"/>
    <x v="1"/>
  </r>
  <r>
    <n v="548"/>
    <d v="2025-08-18T00:00:00"/>
    <x v="14"/>
    <x v="3"/>
    <x v="0"/>
    <n v="59"/>
    <n v="3.12"/>
    <n v="184.08"/>
    <x v="1"/>
  </r>
  <r>
    <n v="281"/>
    <d v="2025-08-19T00:00:00"/>
    <x v="5"/>
    <x v="4"/>
    <x v="0"/>
    <n v="37"/>
    <n v="5.01"/>
    <n v="185.37"/>
    <x v="1"/>
  </r>
  <r>
    <n v="328"/>
    <d v="2025-08-19T00:00:00"/>
    <x v="3"/>
    <x v="0"/>
    <x v="1"/>
    <n v="42"/>
    <n v="6.22"/>
    <n v="261.24"/>
    <x v="1"/>
  </r>
  <r>
    <n v="170"/>
    <d v="2025-08-20T00:00:00"/>
    <x v="9"/>
    <x v="5"/>
    <x v="1"/>
    <n v="34"/>
    <n v="2.68"/>
    <n v="91.12"/>
    <x v="1"/>
  </r>
  <r>
    <n v="27"/>
    <d v="2025-08-21T00:00:00"/>
    <x v="1"/>
    <x v="1"/>
    <x v="1"/>
    <n v="20"/>
    <n v="1.78"/>
    <n v="35.6"/>
    <x v="1"/>
  </r>
  <r>
    <n v="545"/>
    <d v="2025-08-21T00:00:00"/>
    <x v="8"/>
    <x v="2"/>
    <x v="1"/>
    <n v="69"/>
    <n v="2.11"/>
    <n v="145.59"/>
    <x v="1"/>
  </r>
  <r>
    <n v="13"/>
    <d v="2025-08-22T00:00:00"/>
    <x v="14"/>
    <x v="3"/>
    <x v="0"/>
    <n v="55"/>
    <n v="3.34"/>
    <n v="183.7"/>
    <x v="1"/>
  </r>
  <r>
    <n v="122"/>
    <d v="2025-08-22T00:00:00"/>
    <x v="12"/>
    <x v="1"/>
    <x v="0"/>
    <n v="15"/>
    <n v="4.6500000000000004"/>
    <n v="69.75"/>
    <x v="1"/>
  </r>
  <r>
    <n v="192"/>
    <d v="2025-08-22T00:00:00"/>
    <x v="15"/>
    <x v="3"/>
    <x v="0"/>
    <n v="32"/>
    <n v="5.92"/>
    <n v="189.44"/>
    <x v="1"/>
  </r>
  <r>
    <n v="542"/>
    <d v="2025-08-22T00:00:00"/>
    <x v="15"/>
    <x v="3"/>
    <x v="0"/>
    <n v="41"/>
    <n v="5.68"/>
    <n v="232.88"/>
    <x v="1"/>
  </r>
  <r>
    <n v="10"/>
    <d v="2025-08-23T00:00:00"/>
    <x v="2"/>
    <x v="2"/>
    <x v="1"/>
    <n v="47"/>
    <n v="2.1"/>
    <n v="98.7"/>
    <x v="1"/>
  </r>
  <r>
    <n v="183"/>
    <d v="2025-08-24T00:00:00"/>
    <x v="16"/>
    <x v="0"/>
    <x v="1"/>
    <n v="64"/>
    <n v="4.07"/>
    <n v="260.48"/>
    <x v="1"/>
  </r>
  <r>
    <n v="361"/>
    <d v="2025-08-25T00:00:00"/>
    <x v="19"/>
    <x v="5"/>
    <x v="0"/>
    <n v="34"/>
    <n v="7.73"/>
    <n v="262.82"/>
    <x v="1"/>
  </r>
  <r>
    <n v="253"/>
    <d v="2025-08-27T00:00:00"/>
    <x v="1"/>
    <x v="1"/>
    <x v="1"/>
    <n v="32"/>
    <n v="1.9"/>
    <n v="60.8"/>
    <x v="1"/>
  </r>
  <r>
    <n v="434"/>
    <d v="2025-08-27T00:00:00"/>
    <x v="10"/>
    <x v="3"/>
    <x v="1"/>
    <n v="64"/>
    <n v="2.4"/>
    <n v="153.6"/>
    <x v="1"/>
  </r>
  <r>
    <n v="296"/>
    <d v="2025-08-28T00:00:00"/>
    <x v="14"/>
    <x v="3"/>
    <x v="0"/>
    <n v="56"/>
    <n v="3.28"/>
    <n v="183.68"/>
    <x v="1"/>
  </r>
  <r>
    <n v="589"/>
    <d v="2025-08-28T00:00:00"/>
    <x v="8"/>
    <x v="2"/>
    <x v="1"/>
    <n v="64"/>
    <n v="2.15"/>
    <n v="137.6"/>
    <x v="1"/>
  </r>
  <r>
    <n v="249"/>
    <d v="2025-08-29T00:00:00"/>
    <x v="9"/>
    <x v="5"/>
    <x v="1"/>
    <n v="46"/>
    <n v="2.4700000000000002"/>
    <n v="113.62"/>
    <x v="1"/>
  </r>
  <r>
    <n v="449"/>
    <d v="2025-08-29T00:00:00"/>
    <x v="19"/>
    <x v="5"/>
    <x v="0"/>
    <n v="49"/>
    <n v="7.93"/>
    <n v="388.57"/>
    <x v="1"/>
  </r>
  <r>
    <n v="125"/>
    <d v="2025-08-30T00:00:00"/>
    <x v="10"/>
    <x v="3"/>
    <x v="1"/>
    <n v="45"/>
    <n v="2.4300000000000002"/>
    <n v="109.35"/>
    <x v="1"/>
  </r>
  <r>
    <n v="226"/>
    <d v="2025-08-30T00:00:00"/>
    <x v="14"/>
    <x v="3"/>
    <x v="0"/>
    <n v="57"/>
    <n v="3.21"/>
    <n v="182.97"/>
    <x v="1"/>
  </r>
  <r>
    <n v="16"/>
    <d v="2025-08-31T00:00:00"/>
    <x v="17"/>
    <x v="2"/>
    <x v="0"/>
    <n v="42"/>
    <n v="5.68"/>
    <n v="238.56"/>
    <x v="1"/>
  </r>
  <r>
    <n v="156"/>
    <d v="2025-09-01T00:00:00"/>
    <x v="2"/>
    <x v="2"/>
    <x v="1"/>
    <n v="69"/>
    <n v="2.19"/>
    <n v="151.11000000000001"/>
    <x v="2"/>
  </r>
  <r>
    <n v="444"/>
    <d v="2025-09-01T00:00:00"/>
    <x v="19"/>
    <x v="5"/>
    <x v="0"/>
    <n v="70"/>
    <n v="8.2899999999999991"/>
    <n v="580.29999999999995"/>
    <x v="2"/>
  </r>
  <r>
    <n v="368"/>
    <d v="2025-09-03T00:00:00"/>
    <x v="10"/>
    <x v="3"/>
    <x v="1"/>
    <n v="62"/>
    <n v="2.4500000000000002"/>
    <n v="151.9"/>
    <x v="2"/>
  </r>
  <r>
    <n v="429"/>
    <d v="2025-09-03T00:00:00"/>
    <x v="4"/>
    <x v="3"/>
    <x v="1"/>
    <n v="46"/>
    <n v="3.01"/>
    <n v="138.46"/>
    <x v="2"/>
  </r>
  <r>
    <n v="67"/>
    <d v="2025-09-07T00:00:00"/>
    <x v="1"/>
    <x v="1"/>
    <x v="1"/>
    <n v="77"/>
    <n v="1.71"/>
    <n v="131.66999999999999"/>
    <x v="2"/>
  </r>
  <r>
    <n v="306"/>
    <d v="2025-09-07T00:00:00"/>
    <x v="14"/>
    <x v="3"/>
    <x v="0"/>
    <n v="24"/>
    <n v="3.31"/>
    <n v="79.44"/>
    <x v="2"/>
  </r>
  <r>
    <n v="376"/>
    <d v="2025-09-07T00:00:00"/>
    <x v="5"/>
    <x v="4"/>
    <x v="0"/>
    <n v="62"/>
    <n v="5.19"/>
    <n v="321.77999999999997"/>
    <x v="2"/>
  </r>
  <r>
    <n v="586"/>
    <d v="2025-09-08T00:00:00"/>
    <x v="15"/>
    <x v="3"/>
    <x v="0"/>
    <n v="51"/>
    <n v="5.91"/>
    <n v="301.41000000000003"/>
    <x v="2"/>
  </r>
  <r>
    <n v="207"/>
    <d v="2025-09-11T00:00:00"/>
    <x v="18"/>
    <x v="1"/>
    <x v="1"/>
    <n v="84"/>
    <n v="2.2599999999999998"/>
    <n v="189.84"/>
    <x v="2"/>
  </r>
  <r>
    <n v="225"/>
    <d v="2025-09-11T00:00:00"/>
    <x v="18"/>
    <x v="1"/>
    <x v="1"/>
    <n v="35"/>
    <n v="2.36"/>
    <n v="82.6"/>
    <x v="2"/>
  </r>
  <r>
    <n v="337"/>
    <d v="2025-09-11T00:00:00"/>
    <x v="18"/>
    <x v="1"/>
    <x v="1"/>
    <n v="75"/>
    <n v="2.2200000000000002"/>
    <n v="166.5"/>
    <x v="2"/>
  </r>
  <r>
    <n v="353"/>
    <d v="2025-09-11T00:00:00"/>
    <x v="13"/>
    <x v="1"/>
    <x v="0"/>
    <n v="54"/>
    <n v="6.47"/>
    <n v="349.38"/>
    <x v="2"/>
  </r>
  <r>
    <n v="500"/>
    <d v="2025-09-11T00:00:00"/>
    <x v="16"/>
    <x v="0"/>
    <x v="1"/>
    <n v="86"/>
    <n v="4.03"/>
    <n v="346.58"/>
    <x v="2"/>
  </r>
  <r>
    <n v="248"/>
    <d v="2025-09-12T00:00:00"/>
    <x v="19"/>
    <x v="5"/>
    <x v="0"/>
    <n v="48"/>
    <n v="7.96"/>
    <n v="382.08"/>
    <x v="2"/>
  </r>
  <r>
    <n v="565"/>
    <d v="2025-09-12T00:00:00"/>
    <x v="1"/>
    <x v="1"/>
    <x v="1"/>
    <n v="58"/>
    <n v="1.72"/>
    <n v="99.76"/>
    <x v="2"/>
  </r>
  <r>
    <n v="592"/>
    <d v="2025-09-12T00:00:00"/>
    <x v="18"/>
    <x v="1"/>
    <x v="1"/>
    <n v="62"/>
    <n v="2.35"/>
    <n v="145.69999999999999"/>
    <x v="2"/>
  </r>
  <r>
    <n v="502"/>
    <d v="2025-09-13T00:00:00"/>
    <x v="10"/>
    <x v="3"/>
    <x v="1"/>
    <n v="63"/>
    <n v="2.5"/>
    <n v="157.5"/>
    <x v="2"/>
  </r>
  <r>
    <n v="266"/>
    <d v="2025-09-14T00:00:00"/>
    <x v="14"/>
    <x v="3"/>
    <x v="0"/>
    <n v="60"/>
    <n v="3.25"/>
    <n v="195"/>
    <x v="2"/>
  </r>
  <r>
    <n v="477"/>
    <d v="2025-09-14T00:00:00"/>
    <x v="19"/>
    <x v="5"/>
    <x v="0"/>
    <n v="28"/>
    <n v="8.09"/>
    <n v="226.52"/>
    <x v="2"/>
  </r>
  <r>
    <n v="268"/>
    <d v="2025-09-15T00:00:00"/>
    <x v="18"/>
    <x v="1"/>
    <x v="1"/>
    <n v="40"/>
    <n v="2.1800000000000002"/>
    <n v="87.2"/>
    <x v="2"/>
  </r>
  <r>
    <n v="181"/>
    <d v="2025-09-16T00:00:00"/>
    <x v="11"/>
    <x v="4"/>
    <x v="1"/>
    <n v="7"/>
    <n v="1.5"/>
    <n v="10.5"/>
    <x v="2"/>
  </r>
  <r>
    <n v="100"/>
    <d v="2025-09-18T00:00:00"/>
    <x v="9"/>
    <x v="5"/>
    <x v="1"/>
    <n v="62"/>
    <n v="2.46"/>
    <n v="152.52000000000001"/>
    <x v="2"/>
  </r>
  <r>
    <n v="290"/>
    <d v="2025-09-18T00:00:00"/>
    <x v="11"/>
    <x v="4"/>
    <x v="1"/>
    <n v="49"/>
    <n v="1.56"/>
    <n v="76.44"/>
    <x v="2"/>
  </r>
  <r>
    <n v="28"/>
    <d v="2025-09-19T00:00:00"/>
    <x v="19"/>
    <x v="5"/>
    <x v="0"/>
    <n v="44"/>
    <n v="8.0299999999999994"/>
    <n v="353.32"/>
    <x v="2"/>
  </r>
  <r>
    <n v="238"/>
    <d v="2025-09-19T00:00:00"/>
    <x v="11"/>
    <x v="4"/>
    <x v="1"/>
    <n v="35"/>
    <n v="1.52"/>
    <n v="53.2"/>
    <x v="2"/>
  </r>
  <r>
    <n v="245"/>
    <d v="2025-09-20T00:00:00"/>
    <x v="2"/>
    <x v="2"/>
    <x v="1"/>
    <n v="40"/>
    <n v="2.15"/>
    <n v="86"/>
    <x v="2"/>
  </r>
  <r>
    <n v="113"/>
    <d v="2025-09-21T00:00:00"/>
    <x v="1"/>
    <x v="1"/>
    <x v="1"/>
    <n v="43"/>
    <n v="1.77"/>
    <n v="76.11"/>
    <x v="2"/>
  </r>
  <r>
    <n v="463"/>
    <d v="2025-09-21T00:00:00"/>
    <x v="0"/>
    <x v="0"/>
    <x v="0"/>
    <n v="58"/>
    <n v="11.43"/>
    <n v="662.94"/>
    <x v="2"/>
  </r>
  <r>
    <n v="255"/>
    <d v="2025-09-22T00:00:00"/>
    <x v="1"/>
    <x v="1"/>
    <x v="1"/>
    <n v="66"/>
    <n v="1.81"/>
    <n v="119.46"/>
    <x v="2"/>
  </r>
  <r>
    <n v="256"/>
    <d v="2025-09-22T00:00:00"/>
    <x v="16"/>
    <x v="0"/>
    <x v="1"/>
    <n v="53"/>
    <n v="4.03"/>
    <n v="213.59"/>
    <x v="2"/>
  </r>
  <r>
    <n v="496"/>
    <d v="2025-09-22T00:00:00"/>
    <x v="14"/>
    <x v="3"/>
    <x v="0"/>
    <n v="58"/>
    <n v="3.42"/>
    <n v="198.36"/>
    <x v="2"/>
  </r>
  <r>
    <n v="580"/>
    <d v="2025-09-22T00:00:00"/>
    <x v="15"/>
    <x v="3"/>
    <x v="0"/>
    <n v="65"/>
    <n v="5.26"/>
    <n v="341.9"/>
    <x v="2"/>
  </r>
  <r>
    <n v="438"/>
    <d v="2025-09-23T00:00:00"/>
    <x v="7"/>
    <x v="0"/>
    <x v="0"/>
    <n v="32"/>
    <n v="15.02"/>
    <n v="480.64"/>
    <x v="2"/>
  </r>
  <r>
    <n v="267"/>
    <d v="2025-09-24T00:00:00"/>
    <x v="12"/>
    <x v="1"/>
    <x v="0"/>
    <n v="46"/>
    <n v="4.79"/>
    <n v="220.34"/>
    <x v="2"/>
  </r>
  <r>
    <n v="302"/>
    <d v="2025-09-24T00:00:00"/>
    <x v="8"/>
    <x v="2"/>
    <x v="1"/>
    <n v="63"/>
    <n v="2.12"/>
    <n v="133.56"/>
    <x v="2"/>
  </r>
  <r>
    <n v="366"/>
    <d v="2025-09-24T00:00:00"/>
    <x v="10"/>
    <x v="3"/>
    <x v="1"/>
    <n v="49"/>
    <n v="2.5099999999999998"/>
    <n v="122.99"/>
    <x v="2"/>
  </r>
  <r>
    <n v="184"/>
    <d v="2025-09-25T00:00:00"/>
    <x v="3"/>
    <x v="0"/>
    <x v="1"/>
    <n v="49"/>
    <n v="6.02"/>
    <n v="294.98"/>
    <x v="2"/>
  </r>
  <r>
    <n v="187"/>
    <d v="2025-09-26T00:00:00"/>
    <x v="2"/>
    <x v="2"/>
    <x v="1"/>
    <n v="24"/>
    <n v="2.11"/>
    <n v="50.64"/>
    <x v="2"/>
  </r>
  <r>
    <n v="392"/>
    <d v="2025-09-26T00:00:00"/>
    <x v="17"/>
    <x v="2"/>
    <x v="0"/>
    <n v="49"/>
    <n v="5.61"/>
    <n v="274.89"/>
    <x v="2"/>
  </r>
  <r>
    <n v="233"/>
    <d v="2025-09-27T00:00:00"/>
    <x v="0"/>
    <x v="0"/>
    <x v="0"/>
    <n v="42"/>
    <n v="12.01"/>
    <n v="504.42"/>
    <x v="2"/>
  </r>
  <r>
    <n v="311"/>
    <d v="2025-09-27T00:00:00"/>
    <x v="6"/>
    <x v="2"/>
    <x v="0"/>
    <n v="66"/>
    <n v="6"/>
    <n v="396"/>
    <x v="2"/>
  </r>
  <r>
    <n v="467"/>
    <d v="2025-09-27T00:00:00"/>
    <x v="2"/>
    <x v="2"/>
    <x v="1"/>
    <n v="36"/>
    <n v="2.2999999999999998"/>
    <n v="82.8"/>
    <x v="2"/>
  </r>
  <r>
    <n v="78"/>
    <d v="2025-09-28T00:00:00"/>
    <x v="1"/>
    <x v="1"/>
    <x v="1"/>
    <n v="31"/>
    <n v="1.83"/>
    <n v="56.73"/>
    <x v="2"/>
  </r>
  <r>
    <n v="594"/>
    <d v="2025-09-29T00:00:00"/>
    <x v="1"/>
    <x v="1"/>
    <x v="1"/>
    <n v="63"/>
    <n v="1.8"/>
    <n v="113.4"/>
    <x v="2"/>
  </r>
  <r>
    <n v="259"/>
    <d v="2025-10-01T00:00:00"/>
    <x v="16"/>
    <x v="0"/>
    <x v="1"/>
    <n v="63"/>
    <n v="4.13"/>
    <n v="260.19"/>
    <x v="3"/>
  </r>
  <r>
    <n v="312"/>
    <d v="2025-10-01T00:00:00"/>
    <x v="1"/>
    <x v="1"/>
    <x v="1"/>
    <n v="91"/>
    <n v="1.8"/>
    <n v="163.80000000000001"/>
    <x v="3"/>
  </r>
  <r>
    <n v="584"/>
    <d v="2025-10-01T00:00:00"/>
    <x v="15"/>
    <x v="3"/>
    <x v="0"/>
    <n v="43"/>
    <n v="5.26"/>
    <n v="226.18"/>
    <x v="3"/>
  </r>
  <r>
    <n v="591"/>
    <d v="2025-10-02T00:00:00"/>
    <x v="11"/>
    <x v="4"/>
    <x v="1"/>
    <n v="65"/>
    <n v="1.54"/>
    <n v="100.1"/>
    <x v="3"/>
  </r>
  <r>
    <n v="264"/>
    <d v="2025-10-03T00:00:00"/>
    <x v="1"/>
    <x v="1"/>
    <x v="1"/>
    <n v="42"/>
    <n v="1.87"/>
    <n v="78.540000000000006"/>
    <x v="3"/>
  </r>
  <r>
    <n v="160"/>
    <d v="2025-10-05T00:00:00"/>
    <x v="16"/>
    <x v="0"/>
    <x v="1"/>
    <n v="59"/>
    <n v="3.87"/>
    <n v="228.33"/>
    <x v="3"/>
  </r>
  <r>
    <n v="186"/>
    <d v="2025-10-05T00:00:00"/>
    <x v="17"/>
    <x v="2"/>
    <x v="0"/>
    <n v="42"/>
    <n v="5.8"/>
    <n v="243.6"/>
    <x v="3"/>
  </r>
  <r>
    <n v="204"/>
    <d v="2025-10-06T00:00:00"/>
    <x v="9"/>
    <x v="5"/>
    <x v="1"/>
    <n v="73"/>
    <n v="2.42"/>
    <n v="176.66"/>
    <x v="3"/>
  </r>
  <r>
    <n v="518"/>
    <d v="2025-10-07T00:00:00"/>
    <x v="2"/>
    <x v="2"/>
    <x v="1"/>
    <n v="65"/>
    <n v="2.25"/>
    <n v="146.25"/>
    <x v="3"/>
  </r>
  <r>
    <n v="597"/>
    <d v="2025-10-07T00:00:00"/>
    <x v="11"/>
    <x v="4"/>
    <x v="1"/>
    <n v="69"/>
    <n v="1.62"/>
    <n v="111.78"/>
    <x v="3"/>
  </r>
  <r>
    <n v="560"/>
    <d v="2025-10-08T00:00:00"/>
    <x v="15"/>
    <x v="3"/>
    <x v="0"/>
    <n v="50"/>
    <n v="5.7"/>
    <n v="285"/>
    <x v="3"/>
  </r>
  <r>
    <n v="309"/>
    <d v="2025-10-10T00:00:00"/>
    <x v="7"/>
    <x v="0"/>
    <x v="0"/>
    <n v="57"/>
    <n v="15.1"/>
    <n v="860.7"/>
    <x v="3"/>
  </r>
  <r>
    <n v="313"/>
    <d v="2025-10-10T00:00:00"/>
    <x v="2"/>
    <x v="2"/>
    <x v="1"/>
    <n v="74"/>
    <n v="2.2200000000000002"/>
    <n v="164.28"/>
    <x v="3"/>
  </r>
  <r>
    <n v="341"/>
    <d v="2025-10-10T00:00:00"/>
    <x v="19"/>
    <x v="5"/>
    <x v="0"/>
    <n v="9"/>
    <n v="8.1999999999999993"/>
    <n v="73.8"/>
    <x v="3"/>
  </r>
  <r>
    <n v="525"/>
    <d v="2025-10-10T00:00:00"/>
    <x v="15"/>
    <x v="3"/>
    <x v="0"/>
    <n v="34"/>
    <n v="5.59"/>
    <n v="190.06"/>
    <x v="3"/>
  </r>
  <r>
    <n v="1"/>
    <d v="2025-10-11T00:00:00"/>
    <x v="9"/>
    <x v="5"/>
    <x v="1"/>
    <n v="66"/>
    <n v="2.4300000000000002"/>
    <n v="160.38"/>
    <x v="3"/>
  </r>
  <r>
    <n v="216"/>
    <d v="2025-10-11T00:00:00"/>
    <x v="6"/>
    <x v="2"/>
    <x v="0"/>
    <n v="33"/>
    <n v="5.98"/>
    <n v="197.34"/>
    <x v="3"/>
  </r>
  <r>
    <n v="41"/>
    <d v="2025-10-12T00:00:00"/>
    <x v="2"/>
    <x v="2"/>
    <x v="1"/>
    <n v="65"/>
    <n v="2.37"/>
    <n v="154.05000000000001"/>
    <x v="3"/>
  </r>
  <r>
    <n v="494"/>
    <d v="2025-10-13T00:00:00"/>
    <x v="18"/>
    <x v="1"/>
    <x v="1"/>
    <n v="51"/>
    <n v="2.2599999999999998"/>
    <n v="115.26"/>
    <x v="3"/>
  </r>
  <r>
    <n v="321"/>
    <d v="2025-10-14T00:00:00"/>
    <x v="17"/>
    <x v="2"/>
    <x v="0"/>
    <n v="50"/>
    <n v="5.81"/>
    <n v="290.5"/>
    <x v="3"/>
  </r>
  <r>
    <n v="412"/>
    <d v="2025-10-15T00:00:00"/>
    <x v="2"/>
    <x v="2"/>
    <x v="1"/>
    <n v="55"/>
    <n v="2.2599999999999998"/>
    <n v="124.3"/>
    <x v="3"/>
  </r>
  <r>
    <n v="209"/>
    <d v="2025-10-16T00:00:00"/>
    <x v="19"/>
    <x v="5"/>
    <x v="0"/>
    <n v="62"/>
    <n v="8.6"/>
    <n v="533.20000000000005"/>
    <x v="3"/>
  </r>
  <r>
    <n v="217"/>
    <d v="2025-10-16T00:00:00"/>
    <x v="14"/>
    <x v="3"/>
    <x v="0"/>
    <n v="26"/>
    <n v="3.34"/>
    <n v="86.84"/>
    <x v="3"/>
  </r>
  <r>
    <n v="294"/>
    <d v="2025-10-16T00:00:00"/>
    <x v="1"/>
    <x v="1"/>
    <x v="1"/>
    <n v="78"/>
    <n v="1.72"/>
    <n v="134.16"/>
    <x v="3"/>
  </r>
  <r>
    <n v="88"/>
    <d v="2025-10-17T00:00:00"/>
    <x v="19"/>
    <x v="5"/>
    <x v="0"/>
    <n v="57"/>
    <n v="8.64"/>
    <n v="492.48"/>
    <x v="3"/>
  </r>
  <r>
    <n v="515"/>
    <d v="2025-10-17T00:00:00"/>
    <x v="4"/>
    <x v="3"/>
    <x v="1"/>
    <n v="91"/>
    <n v="2.94"/>
    <n v="267.54000000000002"/>
    <x v="3"/>
  </r>
  <r>
    <n v="137"/>
    <d v="2025-10-19T00:00:00"/>
    <x v="2"/>
    <x v="2"/>
    <x v="1"/>
    <n v="18"/>
    <n v="2.19"/>
    <n v="39.42"/>
    <x v="3"/>
  </r>
  <r>
    <n v="159"/>
    <d v="2025-10-19T00:00:00"/>
    <x v="5"/>
    <x v="4"/>
    <x v="0"/>
    <n v="48"/>
    <n v="4.8499999999999996"/>
    <n v="232.8"/>
    <x v="3"/>
  </r>
  <r>
    <n v="273"/>
    <d v="2025-10-19T00:00:00"/>
    <x v="6"/>
    <x v="2"/>
    <x v="0"/>
    <n v="83"/>
    <n v="6.31"/>
    <n v="523.73"/>
    <x v="3"/>
  </r>
  <r>
    <n v="395"/>
    <d v="2025-10-19T00:00:00"/>
    <x v="11"/>
    <x v="4"/>
    <x v="1"/>
    <n v="51"/>
    <n v="1.58"/>
    <n v="80.58"/>
    <x v="3"/>
  </r>
  <r>
    <n v="541"/>
    <d v="2025-10-19T00:00:00"/>
    <x v="1"/>
    <x v="1"/>
    <x v="1"/>
    <n v="69"/>
    <n v="1.79"/>
    <n v="123.51"/>
    <x v="3"/>
  </r>
  <r>
    <n v="566"/>
    <d v="2025-10-19T00:00:00"/>
    <x v="5"/>
    <x v="4"/>
    <x v="0"/>
    <n v="46"/>
    <n v="5.14"/>
    <n v="236.44"/>
    <x v="3"/>
  </r>
  <r>
    <n v="572"/>
    <d v="2025-10-19T00:00:00"/>
    <x v="10"/>
    <x v="3"/>
    <x v="1"/>
    <n v="30"/>
    <n v="2.67"/>
    <n v="80.099999999999994"/>
    <x v="3"/>
  </r>
  <r>
    <n v="189"/>
    <d v="2025-10-20T00:00:00"/>
    <x v="2"/>
    <x v="2"/>
    <x v="1"/>
    <n v="71"/>
    <n v="2.3199999999999998"/>
    <n v="164.72"/>
    <x v="3"/>
  </r>
  <r>
    <n v="397"/>
    <d v="2025-10-20T00:00:00"/>
    <x v="5"/>
    <x v="4"/>
    <x v="0"/>
    <n v="66"/>
    <n v="5.3"/>
    <n v="349.8"/>
    <x v="3"/>
  </r>
  <r>
    <n v="386"/>
    <d v="2025-10-22T00:00:00"/>
    <x v="1"/>
    <x v="1"/>
    <x v="1"/>
    <n v="19"/>
    <n v="1.74"/>
    <n v="33.06"/>
    <x v="3"/>
  </r>
  <r>
    <n v="599"/>
    <d v="2025-10-22T00:00:00"/>
    <x v="4"/>
    <x v="3"/>
    <x v="1"/>
    <n v="27"/>
    <n v="2.87"/>
    <n v="77.489999999999995"/>
    <x v="3"/>
  </r>
  <r>
    <n v="50"/>
    <d v="2025-10-24T00:00:00"/>
    <x v="12"/>
    <x v="1"/>
    <x v="0"/>
    <n v="43"/>
    <n v="4.37"/>
    <n v="187.91"/>
    <x v="3"/>
  </r>
  <r>
    <n v="365"/>
    <d v="2025-10-24T00:00:00"/>
    <x v="18"/>
    <x v="1"/>
    <x v="1"/>
    <n v="76"/>
    <n v="2.2999999999999998"/>
    <n v="174.8"/>
    <x v="3"/>
  </r>
  <r>
    <n v="64"/>
    <d v="2025-10-25T00:00:00"/>
    <x v="8"/>
    <x v="2"/>
    <x v="1"/>
    <n v="47"/>
    <n v="1.92"/>
    <n v="90.24"/>
    <x v="3"/>
  </r>
  <r>
    <n v="99"/>
    <d v="2025-10-25T00:00:00"/>
    <x v="7"/>
    <x v="0"/>
    <x v="0"/>
    <n v="45"/>
    <n v="14.88"/>
    <n v="669.6"/>
    <x v="3"/>
  </r>
  <r>
    <n v="214"/>
    <d v="2025-10-25T00:00:00"/>
    <x v="1"/>
    <x v="1"/>
    <x v="1"/>
    <n v="57"/>
    <n v="1.93"/>
    <n v="110.01"/>
    <x v="3"/>
  </r>
  <r>
    <n v="315"/>
    <d v="2025-10-25T00:00:00"/>
    <x v="14"/>
    <x v="3"/>
    <x v="0"/>
    <n v="15"/>
    <n v="3.24"/>
    <n v="48.6"/>
    <x v="3"/>
  </r>
  <r>
    <n v="406"/>
    <d v="2025-10-25T00:00:00"/>
    <x v="5"/>
    <x v="4"/>
    <x v="0"/>
    <n v="60"/>
    <n v="5.04"/>
    <n v="302.39999999999998"/>
    <x v="3"/>
  </r>
  <r>
    <n v="503"/>
    <d v="2025-10-26T00:00:00"/>
    <x v="13"/>
    <x v="1"/>
    <x v="0"/>
    <n v="70"/>
    <n v="6.31"/>
    <n v="441.7"/>
    <x v="3"/>
  </r>
  <r>
    <n v="564"/>
    <d v="2025-10-26T00:00:00"/>
    <x v="5"/>
    <x v="4"/>
    <x v="0"/>
    <n v="19"/>
    <n v="4.8099999999999996"/>
    <n v="91.39"/>
    <x v="3"/>
  </r>
  <r>
    <n v="191"/>
    <d v="2025-10-27T00:00:00"/>
    <x v="7"/>
    <x v="0"/>
    <x v="0"/>
    <n v="66"/>
    <n v="14.96"/>
    <n v="987.36"/>
    <x v="3"/>
  </r>
  <r>
    <n v="388"/>
    <d v="2025-10-27T00:00:00"/>
    <x v="3"/>
    <x v="0"/>
    <x v="1"/>
    <n v="71"/>
    <n v="6.42"/>
    <n v="455.82"/>
    <x v="3"/>
  </r>
  <r>
    <n v="568"/>
    <d v="2025-10-27T00:00:00"/>
    <x v="16"/>
    <x v="0"/>
    <x v="1"/>
    <n v="46"/>
    <n v="4.07"/>
    <n v="187.22"/>
    <x v="3"/>
  </r>
  <r>
    <n v="40"/>
    <d v="2025-10-28T00:00:00"/>
    <x v="6"/>
    <x v="2"/>
    <x v="0"/>
    <n v="50"/>
    <n v="5.77"/>
    <n v="288.5"/>
    <x v="3"/>
  </r>
  <r>
    <n v="327"/>
    <d v="2025-10-29T00:00:00"/>
    <x v="0"/>
    <x v="0"/>
    <x v="0"/>
    <n v="22"/>
    <n v="12.62"/>
    <n v="277.64"/>
    <x v="3"/>
  </r>
  <r>
    <n v="465"/>
    <d v="2025-10-29T00:00:00"/>
    <x v="3"/>
    <x v="0"/>
    <x v="1"/>
    <n v="61"/>
    <n v="6.12"/>
    <n v="373.32"/>
    <x v="3"/>
  </r>
  <r>
    <n v="65"/>
    <d v="2025-10-30T00:00:00"/>
    <x v="11"/>
    <x v="4"/>
    <x v="1"/>
    <n v="49"/>
    <n v="1.46"/>
    <n v="71.540000000000006"/>
    <x v="3"/>
  </r>
  <r>
    <n v="89"/>
    <d v="2025-10-30T00:00:00"/>
    <x v="17"/>
    <x v="2"/>
    <x v="0"/>
    <n v="77"/>
    <n v="5.92"/>
    <n v="455.84"/>
    <x v="3"/>
  </r>
  <r>
    <n v="201"/>
    <d v="2025-10-30T00:00:00"/>
    <x v="10"/>
    <x v="3"/>
    <x v="1"/>
    <n v="64"/>
    <n v="2.4"/>
    <n v="153.6"/>
    <x v="3"/>
  </r>
  <r>
    <n v="511"/>
    <d v="2025-10-30T00:00:00"/>
    <x v="9"/>
    <x v="5"/>
    <x v="1"/>
    <n v="67"/>
    <n v="2.57"/>
    <n v="172.19"/>
    <x v="3"/>
  </r>
  <r>
    <n v="234"/>
    <d v="2025-10-31T00:00:00"/>
    <x v="10"/>
    <x v="3"/>
    <x v="1"/>
    <n v="75"/>
    <n v="2.65"/>
    <n v="198.75"/>
    <x v="3"/>
  </r>
  <r>
    <n v="236"/>
    <d v="2025-11-01T00:00:00"/>
    <x v="10"/>
    <x v="3"/>
    <x v="1"/>
    <n v="59"/>
    <n v="2.6"/>
    <n v="153.4"/>
    <x v="4"/>
  </r>
  <r>
    <n v="364"/>
    <d v="2025-11-01T00:00:00"/>
    <x v="13"/>
    <x v="1"/>
    <x v="0"/>
    <n v="61"/>
    <n v="6.29"/>
    <n v="383.69"/>
    <x v="4"/>
  </r>
  <r>
    <n v="59"/>
    <d v="2025-11-02T00:00:00"/>
    <x v="10"/>
    <x v="3"/>
    <x v="1"/>
    <n v="46"/>
    <n v="2.42"/>
    <n v="111.32"/>
    <x v="4"/>
  </r>
  <r>
    <n v="334"/>
    <d v="2025-11-02T00:00:00"/>
    <x v="17"/>
    <x v="2"/>
    <x v="0"/>
    <n v="61"/>
    <n v="5.24"/>
    <n v="319.64"/>
    <x v="4"/>
  </r>
  <r>
    <n v="430"/>
    <d v="2025-11-02T00:00:00"/>
    <x v="5"/>
    <x v="4"/>
    <x v="0"/>
    <n v="81"/>
    <n v="4.79"/>
    <n v="387.99"/>
    <x v="4"/>
  </r>
  <r>
    <n v="469"/>
    <d v="2025-11-02T00:00:00"/>
    <x v="12"/>
    <x v="1"/>
    <x v="0"/>
    <n v="67"/>
    <n v="4.4400000000000004"/>
    <n v="297.48"/>
    <x v="4"/>
  </r>
  <r>
    <n v="300"/>
    <d v="2025-11-03T00:00:00"/>
    <x v="14"/>
    <x v="3"/>
    <x v="0"/>
    <n v="7"/>
    <n v="3.43"/>
    <n v="24.01"/>
    <x v="4"/>
  </r>
  <r>
    <n v="506"/>
    <d v="2025-11-03T00:00:00"/>
    <x v="12"/>
    <x v="1"/>
    <x v="0"/>
    <n v="51"/>
    <n v="4.67"/>
    <n v="238.17"/>
    <x v="4"/>
  </r>
  <r>
    <n v="513"/>
    <d v="2025-11-03T00:00:00"/>
    <x v="10"/>
    <x v="3"/>
    <x v="1"/>
    <n v="54"/>
    <n v="2.5499999999999998"/>
    <n v="137.69999999999999"/>
    <x v="4"/>
  </r>
  <r>
    <n v="422"/>
    <d v="2025-11-04T00:00:00"/>
    <x v="10"/>
    <x v="3"/>
    <x v="1"/>
    <n v="70"/>
    <n v="2.59"/>
    <n v="181.3"/>
    <x v="4"/>
  </r>
  <r>
    <n v="35"/>
    <d v="2025-11-05T00:00:00"/>
    <x v="9"/>
    <x v="5"/>
    <x v="1"/>
    <n v="48"/>
    <n v="2.41"/>
    <n v="115.68"/>
    <x v="4"/>
  </r>
  <r>
    <n v="535"/>
    <d v="2025-11-05T00:00:00"/>
    <x v="16"/>
    <x v="0"/>
    <x v="1"/>
    <n v="61"/>
    <n v="3.85"/>
    <n v="234.85"/>
    <x v="4"/>
  </r>
  <r>
    <n v="416"/>
    <d v="2025-11-06T00:00:00"/>
    <x v="16"/>
    <x v="0"/>
    <x v="1"/>
    <n v="57"/>
    <n v="3.88"/>
    <n v="221.16"/>
    <x v="4"/>
  </r>
  <r>
    <n v="149"/>
    <d v="2025-11-07T00:00:00"/>
    <x v="1"/>
    <x v="1"/>
    <x v="1"/>
    <n v="74"/>
    <n v="1.85"/>
    <n v="136.9"/>
    <x v="4"/>
  </r>
  <r>
    <n v="164"/>
    <d v="2025-11-07T00:00:00"/>
    <x v="8"/>
    <x v="2"/>
    <x v="1"/>
    <n v="45"/>
    <n v="2.04"/>
    <n v="91.8"/>
    <x v="4"/>
  </r>
  <r>
    <n v="425"/>
    <d v="2025-11-08T00:00:00"/>
    <x v="2"/>
    <x v="2"/>
    <x v="1"/>
    <n v="63"/>
    <n v="2.2599999999999998"/>
    <n v="142.38"/>
    <x v="4"/>
  </r>
  <r>
    <n v="154"/>
    <d v="2025-11-09T00:00:00"/>
    <x v="2"/>
    <x v="2"/>
    <x v="1"/>
    <n v="73"/>
    <n v="2.29"/>
    <n v="167.17"/>
    <x v="4"/>
  </r>
  <r>
    <n v="169"/>
    <d v="2025-11-10T00:00:00"/>
    <x v="8"/>
    <x v="2"/>
    <x v="1"/>
    <n v="59"/>
    <n v="2.06"/>
    <n v="121.54"/>
    <x v="4"/>
  </r>
  <r>
    <n v="352"/>
    <d v="2025-11-11T00:00:00"/>
    <x v="16"/>
    <x v="0"/>
    <x v="1"/>
    <n v="74"/>
    <n v="3.96"/>
    <n v="293.04000000000002"/>
    <x v="4"/>
  </r>
  <r>
    <n v="44"/>
    <d v="2025-11-12T00:00:00"/>
    <x v="6"/>
    <x v="2"/>
    <x v="0"/>
    <n v="24"/>
    <n v="6.14"/>
    <n v="147.36000000000001"/>
    <x v="4"/>
  </r>
  <r>
    <n v="93"/>
    <d v="2025-11-13T00:00:00"/>
    <x v="3"/>
    <x v="0"/>
    <x v="1"/>
    <n v="49"/>
    <n v="6.41"/>
    <n v="314.08999999999997"/>
    <x v="4"/>
  </r>
  <r>
    <n v="344"/>
    <d v="2025-11-13T00:00:00"/>
    <x v="11"/>
    <x v="4"/>
    <x v="1"/>
    <n v="49"/>
    <n v="1.5"/>
    <n v="73.5"/>
    <x v="4"/>
  </r>
  <r>
    <n v="483"/>
    <d v="2025-11-13T00:00:00"/>
    <x v="3"/>
    <x v="0"/>
    <x v="1"/>
    <n v="49"/>
    <n v="6.04"/>
    <n v="295.95999999999998"/>
    <x v="4"/>
  </r>
  <r>
    <n v="25"/>
    <d v="2025-11-14T00:00:00"/>
    <x v="8"/>
    <x v="2"/>
    <x v="1"/>
    <n v="38"/>
    <n v="1.94"/>
    <n v="73.72"/>
    <x v="4"/>
  </r>
  <r>
    <n v="411"/>
    <d v="2025-11-14T00:00:00"/>
    <x v="15"/>
    <x v="3"/>
    <x v="0"/>
    <n v="51"/>
    <n v="5.34"/>
    <n v="272.33999999999997"/>
    <x v="4"/>
  </r>
  <r>
    <n v="121"/>
    <d v="2025-11-15T00:00:00"/>
    <x v="11"/>
    <x v="4"/>
    <x v="1"/>
    <n v="49"/>
    <n v="1.62"/>
    <n v="79.38"/>
    <x v="4"/>
  </r>
  <r>
    <n v="147"/>
    <d v="2025-11-16T00:00:00"/>
    <x v="12"/>
    <x v="1"/>
    <x v="0"/>
    <n v="13"/>
    <n v="4.54"/>
    <n v="59.02"/>
    <x v="4"/>
  </r>
  <r>
    <n v="516"/>
    <d v="2025-11-16T00:00:00"/>
    <x v="5"/>
    <x v="4"/>
    <x v="0"/>
    <n v="46"/>
    <n v="4.8600000000000003"/>
    <n v="223.56"/>
    <x v="4"/>
  </r>
  <r>
    <n v="551"/>
    <d v="2025-11-16T00:00:00"/>
    <x v="14"/>
    <x v="3"/>
    <x v="0"/>
    <n v="64"/>
    <n v="3.28"/>
    <n v="209.92"/>
    <x v="4"/>
  </r>
  <r>
    <n v="38"/>
    <d v="2025-11-17T00:00:00"/>
    <x v="0"/>
    <x v="0"/>
    <x v="0"/>
    <n v="48"/>
    <n v="12.39"/>
    <n v="594.72"/>
    <x v="4"/>
  </r>
  <r>
    <n v="557"/>
    <d v="2025-11-17T00:00:00"/>
    <x v="10"/>
    <x v="3"/>
    <x v="1"/>
    <n v="62"/>
    <n v="2.54"/>
    <n v="157.47999999999999"/>
    <x v="4"/>
  </r>
  <r>
    <n v="179"/>
    <d v="2025-11-18T00:00:00"/>
    <x v="15"/>
    <x v="3"/>
    <x v="0"/>
    <n v="42"/>
    <n v="5.36"/>
    <n v="225.12"/>
    <x v="4"/>
  </r>
  <r>
    <n v="358"/>
    <d v="2025-11-18T00:00:00"/>
    <x v="0"/>
    <x v="0"/>
    <x v="0"/>
    <n v="45"/>
    <n v="11.83"/>
    <n v="532.35"/>
    <x v="4"/>
  </r>
  <r>
    <n v="57"/>
    <d v="2025-11-19T00:00:00"/>
    <x v="0"/>
    <x v="0"/>
    <x v="0"/>
    <n v="46"/>
    <n v="12.08"/>
    <n v="555.67999999999995"/>
    <x v="4"/>
  </r>
  <r>
    <n v="424"/>
    <d v="2025-11-19T00:00:00"/>
    <x v="19"/>
    <x v="5"/>
    <x v="0"/>
    <n v="38"/>
    <n v="7.87"/>
    <n v="299.06"/>
    <x v="4"/>
  </r>
  <r>
    <n v="213"/>
    <d v="2025-11-20T00:00:00"/>
    <x v="9"/>
    <x v="5"/>
    <x v="1"/>
    <n v="69"/>
    <n v="2.39"/>
    <n v="164.91"/>
    <x v="4"/>
  </r>
  <r>
    <n v="62"/>
    <d v="2025-11-21T00:00:00"/>
    <x v="19"/>
    <x v="5"/>
    <x v="0"/>
    <n v="31"/>
    <n v="8.34"/>
    <n v="258.54000000000002"/>
    <x v="4"/>
  </r>
  <r>
    <n v="288"/>
    <d v="2025-11-22T00:00:00"/>
    <x v="3"/>
    <x v="0"/>
    <x v="1"/>
    <n v="70"/>
    <n v="5.71"/>
    <n v="399.7"/>
    <x v="4"/>
  </r>
  <r>
    <n v="136"/>
    <d v="2025-11-23T00:00:00"/>
    <x v="2"/>
    <x v="2"/>
    <x v="1"/>
    <n v="47"/>
    <n v="2.2999999999999998"/>
    <n v="108.1"/>
    <x v="4"/>
  </r>
  <r>
    <n v="224"/>
    <d v="2025-11-23T00:00:00"/>
    <x v="10"/>
    <x v="3"/>
    <x v="1"/>
    <n v="49"/>
    <n v="2.38"/>
    <n v="116.62"/>
    <x v="4"/>
  </r>
  <r>
    <n v="34"/>
    <d v="2025-11-24T00:00:00"/>
    <x v="6"/>
    <x v="2"/>
    <x v="0"/>
    <n v="60"/>
    <n v="5.84"/>
    <n v="350.4"/>
    <x v="4"/>
  </r>
  <r>
    <n v="63"/>
    <d v="2025-11-24T00:00:00"/>
    <x v="13"/>
    <x v="1"/>
    <x v="0"/>
    <n v="73"/>
    <n v="6.39"/>
    <n v="466.47"/>
    <x v="4"/>
  </r>
  <r>
    <n v="101"/>
    <d v="2025-11-24T00:00:00"/>
    <x v="14"/>
    <x v="3"/>
    <x v="0"/>
    <n v="36"/>
    <n v="3.16"/>
    <n v="113.76"/>
    <x v="4"/>
  </r>
  <r>
    <n v="487"/>
    <d v="2025-11-24T00:00:00"/>
    <x v="14"/>
    <x v="3"/>
    <x v="0"/>
    <n v="32"/>
    <n v="3.22"/>
    <n v="103.04"/>
    <x v="4"/>
  </r>
  <r>
    <n v="492"/>
    <d v="2025-11-24T00:00:00"/>
    <x v="13"/>
    <x v="1"/>
    <x v="0"/>
    <n v="55"/>
    <n v="6.81"/>
    <n v="374.55"/>
    <x v="4"/>
  </r>
  <r>
    <n v="97"/>
    <d v="2025-11-25T00:00:00"/>
    <x v="14"/>
    <x v="3"/>
    <x v="0"/>
    <n v="67"/>
    <n v="3.28"/>
    <n v="219.76"/>
    <x v="4"/>
  </r>
  <r>
    <n v="423"/>
    <d v="2025-11-25T00:00:00"/>
    <x v="0"/>
    <x v="0"/>
    <x v="0"/>
    <n v="65"/>
    <n v="12.63"/>
    <n v="820.95"/>
    <x v="4"/>
  </r>
  <r>
    <n v="331"/>
    <d v="2025-11-26T00:00:00"/>
    <x v="4"/>
    <x v="3"/>
    <x v="1"/>
    <n v="35"/>
    <n v="2.93"/>
    <n v="102.55"/>
    <x v="4"/>
  </r>
  <r>
    <n v="177"/>
    <d v="2025-11-27T00:00:00"/>
    <x v="6"/>
    <x v="2"/>
    <x v="0"/>
    <n v="40"/>
    <n v="5.77"/>
    <n v="230.8"/>
    <x v="4"/>
  </r>
  <r>
    <n v="453"/>
    <d v="2025-11-27T00:00:00"/>
    <x v="3"/>
    <x v="0"/>
    <x v="1"/>
    <n v="62"/>
    <n v="6.19"/>
    <n v="383.78"/>
    <x v="4"/>
  </r>
  <r>
    <n v="36"/>
    <d v="2025-11-28T00:00:00"/>
    <x v="1"/>
    <x v="1"/>
    <x v="1"/>
    <n v="39"/>
    <n v="1.86"/>
    <n v="72.540000000000006"/>
    <x v="4"/>
  </r>
  <r>
    <n v="82"/>
    <d v="2025-11-29T00:00:00"/>
    <x v="1"/>
    <x v="1"/>
    <x v="1"/>
    <n v="33"/>
    <n v="1.87"/>
    <n v="61.71"/>
    <x v="4"/>
  </r>
  <r>
    <n v="141"/>
    <d v="2025-11-29T00:00:00"/>
    <x v="14"/>
    <x v="3"/>
    <x v="0"/>
    <n v="5"/>
    <n v="3.45"/>
    <n v="17.25"/>
    <x v="4"/>
  </r>
  <r>
    <n v="378"/>
    <d v="2025-11-29T00:00:00"/>
    <x v="9"/>
    <x v="5"/>
    <x v="1"/>
    <n v="58"/>
    <n v="2.61"/>
    <n v="151.38"/>
    <x v="4"/>
  </r>
  <r>
    <n v="588"/>
    <d v="2025-12-01T00:00:00"/>
    <x v="4"/>
    <x v="3"/>
    <x v="1"/>
    <n v="30"/>
    <n v="3.16"/>
    <n v="94.8"/>
    <x v="5"/>
  </r>
  <r>
    <n v="53"/>
    <d v="2025-12-02T00:00:00"/>
    <x v="0"/>
    <x v="0"/>
    <x v="0"/>
    <n v="60"/>
    <n v="12.5"/>
    <n v="750"/>
    <x v="5"/>
  </r>
  <r>
    <n v="509"/>
    <d v="2025-12-02T00:00:00"/>
    <x v="10"/>
    <x v="3"/>
    <x v="1"/>
    <n v="35"/>
    <n v="2.38"/>
    <n v="83.3"/>
    <x v="5"/>
  </r>
  <r>
    <n v="254"/>
    <d v="2025-12-04T00:00:00"/>
    <x v="15"/>
    <x v="3"/>
    <x v="0"/>
    <n v="41"/>
    <n v="5.28"/>
    <n v="216.48"/>
    <x v="5"/>
  </r>
  <r>
    <n v="320"/>
    <d v="2025-12-04T00:00:00"/>
    <x v="5"/>
    <x v="4"/>
    <x v="0"/>
    <n v="87"/>
    <n v="5.13"/>
    <n v="446.31"/>
    <x v="5"/>
  </r>
  <r>
    <n v="490"/>
    <d v="2025-12-05T00:00:00"/>
    <x v="7"/>
    <x v="0"/>
    <x v="0"/>
    <n v="52"/>
    <n v="14.33"/>
    <n v="745.16"/>
    <x v="5"/>
  </r>
  <r>
    <n v="162"/>
    <d v="2025-12-06T00:00:00"/>
    <x v="3"/>
    <x v="0"/>
    <x v="1"/>
    <n v="69"/>
    <n v="5.8"/>
    <n v="400.2"/>
    <x v="5"/>
  </r>
  <r>
    <n v="26"/>
    <d v="2025-12-07T00:00:00"/>
    <x v="13"/>
    <x v="1"/>
    <x v="0"/>
    <n v="30"/>
    <n v="6.23"/>
    <n v="186.9"/>
    <x v="5"/>
  </r>
  <r>
    <n v="244"/>
    <d v="2025-12-07T00:00:00"/>
    <x v="15"/>
    <x v="3"/>
    <x v="0"/>
    <n v="55"/>
    <n v="5.87"/>
    <n v="322.85000000000002"/>
    <x v="5"/>
  </r>
  <r>
    <n v="339"/>
    <d v="2025-12-07T00:00:00"/>
    <x v="0"/>
    <x v="0"/>
    <x v="0"/>
    <n v="53"/>
    <n v="11.91"/>
    <n v="631.23"/>
    <x v="5"/>
  </r>
  <r>
    <n v="359"/>
    <d v="2025-12-07T00:00:00"/>
    <x v="2"/>
    <x v="2"/>
    <x v="1"/>
    <n v="37"/>
    <n v="2.11"/>
    <n v="78.069999999999993"/>
    <x v="5"/>
  </r>
  <r>
    <n v="426"/>
    <d v="2025-12-08T00:00:00"/>
    <x v="17"/>
    <x v="2"/>
    <x v="0"/>
    <n v="44"/>
    <n v="5.52"/>
    <n v="242.88"/>
    <x v="5"/>
  </r>
  <r>
    <n v="581"/>
    <d v="2025-12-08T00:00:00"/>
    <x v="1"/>
    <x v="1"/>
    <x v="1"/>
    <n v="42"/>
    <n v="1.93"/>
    <n v="81.06"/>
    <x v="5"/>
  </r>
  <r>
    <n v="585"/>
    <d v="2025-12-08T00:00:00"/>
    <x v="19"/>
    <x v="5"/>
    <x v="0"/>
    <n v="53"/>
    <n v="7.85"/>
    <n v="416.05"/>
    <x v="5"/>
  </r>
  <r>
    <n v="404"/>
    <d v="2025-12-09T00:00:00"/>
    <x v="2"/>
    <x v="2"/>
    <x v="1"/>
    <n v="88"/>
    <n v="2.1"/>
    <n v="184.8"/>
    <x v="5"/>
  </r>
  <r>
    <n v="419"/>
    <d v="2025-12-10T00:00:00"/>
    <x v="1"/>
    <x v="1"/>
    <x v="1"/>
    <n v="71"/>
    <n v="1.82"/>
    <n v="129.22"/>
    <x v="5"/>
  </r>
  <r>
    <n v="528"/>
    <d v="2025-12-10T00:00:00"/>
    <x v="19"/>
    <x v="5"/>
    <x v="0"/>
    <n v="75"/>
    <n v="7.66"/>
    <n v="574.5"/>
    <x v="5"/>
  </r>
  <r>
    <n v="289"/>
    <d v="2025-12-11T00:00:00"/>
    <x v="1"/>
    <x v="1"/>
    <x v="1"/>
    <n v="62"/>
    <n v="1.81"/>
    <n v="112.22"/>
    <x v="5"/>
  </r>
  <r>
    <n v="520"/>
    <d v="2025-12-11T00:00:00"/>
    <x v="14"/>
    <x v="3"/>
    <x v="0"/>
    <n v="43"/>
    <n v="3.29"/>
    <n v="141.47"/>
    <x v="5"/>
  </r>
  <r>
    <n v="198"/>
    <d v="2025-12-12T00:00:00"/>
    <x v="7"/>
    <x v="0"/>
    <x v="0"/>
    <n v="69"/>
    <n v="14.65"/>
    <n v="1010.85"/>
    <x v="5"/>
  </r>
  <r>
    <n v="293"/>
    <d v="2025-12-12T00:00:00"/>
    <x v="3"/>
    <x v="0"/>
    <x v="1"/>
    <n v="61"/>
    <n v="6.38"/>
    <n v="389.18"/>
    <x v="5"/>
  </r>
  <r>
    <n v="182"/>
    <d v="2025-12-13T00:00:00"/>
    <x v="4"/>
    <x v="3"/>
    <x v="1"/>
    <n v="74"/>
    <n v="2.92"/>
    <n v="216.08"/>
    <x v="5"/>
  </r>
  <r>
    <n v="269"/>
    <d v="2025-12-13T00:00:00"/>
    <x v="15"/>
    <x v="3"/>
    <x v="0"/>
    <n v="61"/>
    <n v="5.25"/>
    <n v="320.25"/>
    <x v="5"/>
  </r>
  <r>
    <n v="497"/>
    <d v="2025-12-13T00:00:00"/>
    <x v="5"/>
    <x v="4"/>
    <x v="0"/>
    <n v="14"/>
    <n v="5.07"/>
    <n v="70.98"/>
    <x v="5"/>
  </r>
  <r>
    <n v="241"/>
    <d v="2025-12-15T00:00:00"/>
    <x v="4"/>
    <x v="3"/>
    <x v="1"/>
    <n v="46"/>
    <n v="2.94"/>
    <n v="135.24"/>
    <x v="5"/>
  </r>
  <r>
    <n v="43"/>
    <d v="2025-12-16T00:00:00"/>
    <x v="17"/>
    <x v="2"/>
    <x v="0"/>
    <n v="31"/>
    <n v="5.76"/>
    <n v="178.56"/>
    <x v="5"/>
  </r>
  <r>
    <n v="383"/>
    <d v="2025-12-16T00:00:00"/>
    <x v="12"/>
    <x v="1"/>
    <x v="0"/>
    <n v="43"/>
    <n v="4.34"/>
    <n v="186.62"/>
    <x v="5"/>
  </r>
  <r>
    <n v="5"/>
    <d v="2025-12-17T00:00:00"/>
    <x v="15"/>
    <x v="3"/>
    <x v="0"/>
    <n v="48"/>
    <n v="5.5"/>
    <n v="264"/>
    <x v="5"/>
  </r>
  <r>
    <n v="235"/>
    <d v="2025-12-17T00:00:00"/>
    <x v="12"/>
    <x v="1"/>
    <x v="0"/>
    <n v="47"/>
    <n v="4.4400000000000004"/>
    <n v="208.68"/>
    <x v="5"/>
  </r>
  <r>
    <n v="168"/>
    <d v="2025-12-18T00:00:00"/>
    <x v="14"/>
    <x v="3"/>
    <x v="0"/>
    <n v="37"/>
    <n v="3.42"/>
    <n v="126.54"/>
    <x v="5"/>
  </r>
  <r>
    <n v="325"/>
    <d v="2025-12-19T00:00:00"/>
    <x v="6"/>
    <x v="2"/>
    <x v="0"/>
    <n v="47"/>
    <n v="6.34"/>
    <n v="297.98"/>
    <x v="5"/>
  </r>
  <r>
    <n v="56"/>
    <d v="2025-12-20T00:00:00"/>
    <x v="6"/>
    <x v="2"/>
    <x v="0"/>
    <n v="60"/>
    <n v="6.25"/>
    <n v="375"/>
    <x v="5"/>
  </r>
  <r>
    <n v="96"/>
    <d v="2025-12-20T00:00:00"/>
    <x v="13"/>
    <x v="1"/>
    <x v="0"/>
    <n v="42"/>
    <n v="6.66"/>
    <n v="279.72000000000003"/>
    <x v="5"/>
  </r>
  <r>
    <n v="145"/>
    <d v="2025-12-20T00:00:00"/>
    <x v="15"/>
    <x v="3"/>
    <x v="0"/>
    <n v="56"/>
    <n v="5.6"/>
    <n v="313.60000000000002"/>
    <x v="5"/>
  </r>
  <r>
    <n v="200"/>
    <d v="2025-12-20T00:00:00"/>
    <x v="13"/>
    <x v="1"/>
    <x v="0"/>
    <n v="21"/>
    <n v="6.5"/>
    <n v="136.5"/>
    <x v="5"/>
  </r>
  <r>
    <n v="474"/>
    <d v="2025-12-21T00:00:00"/>
    <x v="14"/>
    <x v="3"/>
    <x v="0"/>
    <n v="49"/>
    <n v="3.18"/>
    <n v="155.82"/>
    <x v="5"/>
  </r>
  <r>
    <n v="54"/>
    <d v="2025-12-23T00:00:00"/>
    <x v="1"/>
    <x v="1"/>
    <x v="1"/>
    <n v="74"/>
    <n v="1.9"/>
    <n v="140.6"/>
    <x v="5"/>
  </r>
  <r>
    <n v="237"/>
    <d v="2025-12-23T00:00:00"/>
    <x v="14"/>
    <x v="3"/>
    <x v="0"/>
    <n v="57"/>
    <n v="3.07"/>
    <n v="174.99"/>
    <x v="5"/>
  </r>
  <r>
    <n v="442"/>
    <d v="2025-12-23T00:00:00"/>
    <x v="12"/>
    <x v="1"/>
    <x v="0"/>
    <n v="46"/>
    <n v="4.74"/>
    <n v="218.04"/>
    <x v="5"/>
  </r>
  <r>
    <n v="110"/>
    <d v="2025-12-24T00:00:00"/>
    <x v="10"/>
    <x v="3"/>
    <x v="1"/>
    <n v="80"/>
    <n v="2.39"/>
    <n v="191.2"/>
    <x v="5"/>
  </r>
  <r>
    <n v="74"/>
    <d v="2025-12-25T00:00:00"/>
    <x v="6"/>
    <x v="2"/>
    <x v="0"/>
    <n v="47"/>
    <n v="6.06"/>
    <n v="284.82"/>
    <x v="5"/>
  </r>
  <r>
    <n v="105"/>
    <d v="2025-12-25T00:00:00"/>
    <x v="19"/>
    <x v="5"/>
    <x v="0"/>
    <n v="10"/>
    <n v="8.4499999999999993"/>
    <n v="84.5"/>
    <x v="5"/>
  </r>
  <r>
    <n v="19"/>
    <d v="2025-12-26T00:00:00"/>
    <x v="11"/>
    <x v="4"/>
    <x v="1"/>
    <n v="87"/>
    <n v="1.45"/>
    <n v="126.15"/>
    <x v="5"/>
  </r>
  <r>
    <n v="75"/>
    <d v="2025-12-26T00:00:00"/>
    <x v="9"/>
    <x v="5"/>
    <x v="1"/>
    <n v="62"/>
    <n v="2.67"/>
    <n v="165.54"/>
    <x v="5"/>
  </r>
  <r>
    <n v="158"/>
    <d v="2025-12-26T00:00:00"/>
    <x v="8"/>
    <x v="2"/>
    <x v="1"/>
    <n v="80"/>
    <n v="1.94"/>
    <n v="155.19999999999999"/>
    <x v="5"/>
  </r>
  <r>
    <n v="138"/>
    <d v="2025-12-27T00:00:00"/>
    <x v="1"/>
    <x v="1"/>
    <x v="1"/>
    <n v="74"/>
    <n v="1.83"/>
    <n v="135.41999999999999"/>
    <x v="5"/>
  </r>
  <r>
    <n v="242"/>
    <d v="2025-12-28T00:00:00"/>
    <x v="14"/>
    <x v="3"/>
    <x v="0"/>
    <n v="27"/>
    <n v="3.33"/>
    <n v="89.91"/>
    <x v="5"/>
  </r>
  <r>
    <n v="260"/>
    <d v="2025-12-28T00:00:00"/>
    <x v="4"/>
    <x v="3"/>
    <x v="1"/>
    <n v="65"/>
    <n v="3.03"/>
    <n v="196.95"/>
    <x v="5"/>
  </r>
  <r>
    <n v="277"/>
    <d v="2025-12-30T00:00:00"/>
    <x v="4"/>
    <x v="3"/>
    <x v="1"/>
    <n v="64"/>
    <n v="3.04"/>
    <n v="194.56"/>
    <x v="5"/>
  </r>
  <r>
    <n v="486"/>
    <d v="2025-12-30T00:00:00"/>
    <x v="10"/>
    <x v="3"/>
    <x v="1"/>
    <n v="78"/>
    <n v="2.59"/>
    <n v="202.02"/>
    <x v="5"/>
  </r>
  <r>
    <n v="163"/>
    <d v="2025-12-31T00:00:00"/>
    <x v="7"/>
    <x v="0"/>
    <x v="0"/>
    <n v="37"/>
    <n v="15.66"/>
    <n v="579.41999999999996"/>
    <x v="5"/>
  </r>
  <r>
    <n v="299"/>
    <d v="2025-12-31T00:00:00"/>
    <x v="5"/>
    <x v="4"/>
    <x v="0"/>
    <n v="52"/>
    <n v="4.83"/>
    <n v="251.16"/>
    <x v="5"/>
  </r>
  <r>
    <n v="421"/>
    <d v="2025-12-31T00:00:00"/>
    <x v="10"/>
    <x v="3"/>
    <x v="1"/>
    <n v="11"/>
    <n v="2.4900000000000002"/>
    <n v="27.39"/>
    <x v="5"/>
  </r>
  <r>
    <n v="222"/>
    <d v="2026-01-01T00:00:00"/>
    <x v="3"/>
    <x v="0"/>
    <x v="1"/>
    <n v="80"/>
    <n v="6.47"/>
    <n v="517.6"/>
    <x v="6"/>
  </r>
  <r>
    <n v="400"/>
    <d v="2026-01-02T00:00:00"/>
    <x v="18"/>
    <x v="1"/>
    <x v="1"/>
    <n v="76"/>
    <n v="2.27"/>
    <n v="172.52"/>
    <x v="6"/>
  </r>
  <r>
    <n v="569"/>
    <d v="2026-01-02T00:00:00"/>
    <x v="14"/>
    <x v="3"/>
    <x v="0"/>
    <n v="40"/>
    <n v="3.15"/>
    <n v="126"/>
    <x v="6"/>
  </r>
  <r>
    <n v="243"/>
    <d v="2026-01-04T00:00:00"/>
    <x v="0"/>
    <x v="0"/>
    <x v="0"/>
    <n v="44"/>
    <n v="12.77"/>
    <n v="561.88"/>
    <x v="6"/>
  </r>
  <r>
    <n v="540"/>
    <d v="2026-01-04T00:00:00"/>
    <x v="10"/>
    <x v="3"/>
    <x v="1"/>
    <n v="55"/>
    <n v="2.5099999999999998"/>
    <n v="138.05000000000001"/>
    <x v="6"/>
  </r>
  <r>
    <n v="579"/>
    <d v="2026-01-04T00:00:00"/>
    <x v="10"/>
    <x v="3"/>
    <x v="1"/>
    <n v="75"/>
    <n v="2.68"/>
    <n v="201"/>
    <x v="6"/>
  </r>
  <r>
    <n v="178"/>
    <d v="2026-01-05T00:00:00"/>
    <x v="11"/>
    <x v="4"/>
    <x v="1"/>
    <n v="35"/>
    <n v="1.54"/>
    <n v="53.9"/>
    <x v="6"/>
  </r>
  <r>
    <n v="393"/>
    <d v="2026-01-05T00:00:00"/>
    <x v="5"/>
    <x v="4"/>
    <x v="0"/>
    <n v="55"/>
    <n v="5.2"/>
    <n v="286"/>
    <x v="6"/>
  </r>
  <r>
    <n v="482"/>
    <d v="2026-01-05T00:00:00"/>
    <x v="3"/>
    <x v="0"/>
    <x v="1"/>
    <n v="7"/>
    <n v="5.74"/>
    <n v="40.18"/>
    <x v="6"/>
  </r>
  <r>
    <n v="530"/>
    <d v="2026-01-05T00:00:00"/>
    <x v="16"/>
    <x v="0"/>
    <x v="1"/>
    <n v="73"/>
    <n v="4.28"/>
    <n v="312.44"/>
    <x v="6"/>
  </r>
  <r>
    <n v="98"/>
    <d v="2026-01-06T00:00:00"/>
    <x v="14"/>
    <x v="3"/>
    <x v="0"/>
    <n v="58"/>
    <n v="3.26"/>
    <n v="189.08"/>
    <x v="6"/>
  </r>
  <r>
    <n v="349"/>
    <d v="2026-01-06T00:00:00"/>
    <x v="3"/>
    <x v="0"/>
    <x v="1"/>
    <n v="63"/>
    <n v="6.15"/>
    <n v="387.45"/>
    <x v="6"/>
  </r>
  <r>
    <n v="362"/>
    <d v="2026-01-06T00:00:00"/>
    <x v="14"/>
    <x v="3"/>
    <x v="0"/>
    <n v="37"/>
    <n v="3.33"/>
    <n v="123.21"/>
    <x v="6"/>
  </r>
  <r>
    <n v="461"/>
    <d v="2026-01-06T00:00:00"/>
    <x v="13"/>
    <x v="1"/>
    <x v="0"/>
    <n v="43"/>
    <n v="6.19"/>
    <n v="266.17"/>
    <x v="6"/>
  </r>
  <r>
    <n v="370"/>
    <d v="2026-01-07T00:00:00"/>
    <x v="1"/>
    <x v="1"/>
    <x v="1"/>
    <n v="47"/>
    <n v="1.74"/>
    <n v="81.78"/>
    <x v="6"/>
  </r>
  <r>
    <n v="81"/>
    <d v="2026-01-08T00:00:00"/>
    <x v="19"/>
    <x v="5"/>
    <x v="0"/>
    <n v="12"/>
    <n v="8.41"/>
    <n v="100.92"/>
    <x v="6"/>
  </r>
  <r>
    <n v="118"/>
    <d v="2026-01-08T00:00:00"/>
    <x v="18"/>
    <x v="1"/>
    <x v="1"/>
    <n v="70"/>
    <n v="2.2599999999999998"/>
    <n v="158.19999999999999"/>
    <x v="6"/>
  </r>
  <r>
    <n v="307"/>
    <d v="2026-01-08T00:00:00"/>
    <x v="12"/>
    <x v="1"/>
    <x v="0"/>
    <n v="38"/>
    <n v="4.4400000000000004"/>
    <n v="168.72"/>
    <x v="6"/>
  </r>
  <r>
    <n v="415"/>
    <d v="2026-01-08T00:00:00"/>
    <x v="8"/>
    <x v="2"/>
    <x v="1"/>
    <n v="46"/>
    <n v="2.14"/>
    <n v="98.44"/>
    <x v="6"/>
  </r>
  <r>
    <n v="484"/>
    <d v="2026-01-08T00:00:00"/>
    <x v="1"/>
    <x v="1"/>
    <x v="1"/>
    <n v="22"/>
    <n v="1.93"/>
    <n v="42.46"/>
    <x v="6"/>
  </r>
  <r>
    <n v="251"/>
    <d v="2026-01-09T00:00:00"/>
    <x v="3"/>
    <x v="0"/>
    <x v="1"/>
    <n v="44"/>
    <n v="6.29"/>
    <n v="276.76"/>
    <x v="6"/>
  </r>
  <r>
    <n v="600"/>
    <d v="2026-01-09T00:00:00"/>
    <x v="14"/>
    <x v="3"/>
    <x v="0"/>
    <n v="45"/>
    <n v="3.32"/>
    <n v="149.4"/>
    <x v="6"/>
  </r>
  <r>
    <n v="92"/>
    <d v="2026-01-10T00:00:00"/>
    <x v="5"/>
    <x v="4"/>
    <x v="0"/>
    <n v="20"/>
    <n v="4.9000000000000004"/>
    <n v="98"/>
    <x v="6"/>
  </r>
  <r>
    <n v="144"/>
    <d v="2026-01-10T00:00:00"/>
    <x v="5"/>
    <x v="4"/>
    <x v="0"/>
    <n v="35"/>
    <n v="5.0599999999999996"/>
    <n v="177.1"/>
    <x v="6"/>
  </r>
  <r>
    <n v="124"/>
    <d v="2026-01-11T00:00:00"/>
    <x v="5"/>
    <x v="4"/>
    <x v="0"/>
    <n v="53"/>
    <n v="5.38"/>
    <n v="285.14"/>
    <x v="6"/>
  </r>
  <r>
    <n v="161"/>
    <d v="2026-01-12T00:00:00"/>
    <x v="16"/>
    <x v="0"/>
    <x v="1"/>
    <n v="48"/>
    <n v="4.2300000000000004"/>
    <n v="203.04"/>
    <x v="6"/>
  </r>
  <r>
    <n v="371"/>
    <d v="2026-01-12T00:00:00"/>
    <x v="12"/>
    <x v="1"/>
    <x v="0"/>
    <n v="41"/>
    <n v="4.49"/>
    <n v="184.09"/>
    <x v="6"/>
  </r>
  <r>
    <n v="468"/>
    <d v="2026-01-12T00:00:00"/>
    <x v="0"/>
    <x v="0"/>
    <x v="0"/>
    <n v="25"/>
    <n v="12.77"/>
    <n v="319.25"/>
    <x v="6"/>
  </r>
  <r>
    <n v="212"/>
    <d v="2026-01-14T00:00:00"/>
    <x v="1"/>
    <x v="1"/>
    <x v="1"/>
    <n v="66"/>
    <n v="1.82"/>
    <n v="120.12"/>
    <x v="6"/>
  </r>
  <r>
    <n v="410"/>
    <d v="2026-01-14T00:00:00"/>
    <x v="3"/>
    <x v="0"/>
    <x v="1"/>
    <n v="65"/>
    <n v="6"/>
    <n v="390"/>
    <x v="6"/>
  </r>
  <r>
    <n v="413"/>
    <d v="2026-01-14T00:00:00"/>
    <x v="9"/>
    <x v="5"/>
    <x v="1"/>
    <n v="47"/>
    <n v="2.5"/>
    <n v="117.5"/>
    <x v="6"/>
  </r>
  <r>
    <n v="553"/>
    <d v="2026-01-14T00:00:00"/>
    <x v="9"/>
    <x v="5"/>
    <x v="1"/>
    <n v="41"/>
    <n v="2.39"/>
    <n v="97.99"/>
    <x v="6"/>
  </r>
  <r>
    <n v="472"/>
    <d v="2026-01-17T00:00:00"/>
    <x v="8"/>
    <x v="2"/>
    <x v="1"/>
    <n v="27"/>
    <n v="2.12"/>
    <n v="57.24"/>
    <x v="6"/>
  </r>
  <r>
    <n v="512"/>
    <d v="2026-01-17T00:00:00"/>
    <x v="14"/>
    <x v="3"/>
    <x v="0"/>
    <n v="38"/>
    <n v="3.29"/>
    <n v="125.02"/>
    <x v="6"/>
  </r>
  <r>
    <n v="278"/>
    <d v="2026-01-18T00:00:00"/>
    <x v="8"/>
    <x v="2"/>
    <x v="1"/>
    <n v="19"/>
    <n v="1.92"/>
    <n v="36.479999999999997"/>
    <x v="6"/>
  </r>
  <r>
    <n v="31"/>
    <d v="2026-01-19T00:00:00"/>
    <x v="17"/>
    <x v="2"/>
    <x v="0"/>
    <n v="70"/>
    <n v="5.68"/>
    <n v="397.6"/>
    <x v="6"/>
  </r>
  <r>
    <n v="318"/>
    <d v="2026-01-19T00:00:00"/>
    <x v="10"/>
    <x v="3"/>
    <x v="1"/>
    <n v="60"/>
    <n v="2.68"/>
    <n v="160.80000000000001"/>
    <x v="6"/>
  </r>
  <r>
    <n v="69"/>
    <d v="2026-01-20T00:00:00"/>
    <x v="14"/>
    <x v="3"/>
    <x v="0"/>
    <n v="5"/>
    <n v="3.11"/>
    <n v="15.55"/>
    <x v="6"/>
  </r>
  <r>
    <n v="532"/>
    <d v="2026-01-20T00:00:00"/>
    <x v="12"/>
    <x v="1"/>
    <x v="0"/>
    <n v="53"/>
    <n v="4.7"/>
    <n v="249.1"/>
    <x v="6"/>
  </r>
  <r>
    <n v="263"/>
    <d v="2026-01-21T00:00:00"/>
    <x v="10"/>
    <x v="3"/>
    <x v="1"/>
    <n v="51"/>
    <n v="2.5299999999999998"/>
    <n v="129.03"/>
    <x v="6"/>
  </r>
  <r>
    <n v="420"/>
    <d v="2026-01-21T00:00:00"/>
    <x v="10"/>
    <x v="3"/>
    <x v="1"/>
    <n v="40"/>
    <n v="2.5299999999999998"/>
    <n v="101.2"/>
    <x v="6"/>
  </r>
  <r>
    <n v="574"/>
    <d v="2026-01-21T00:00:00"/>
    <x v="10"/>
    <x v="3"/>
    <x v="1"/>
    <n v="57"/>
    <n v="2.59"/>
    <n v="147.63"/>
    <x v="6"/>
  </r>
  <r>
    <n v="130"/>
    <d v="2026-01-23T00:00:00"/>
    <x v="18"/>
    <x v="1"/>
    <x v="1"/>
    <n v="68"/>
    <n v="2.23"/>
    <n v="151.63999999999999"/>
    <x v="6"/>
  </r>
  <r>
    <n v="279"/>
    <d v="2026-01-23T00:00:00"/>
    <x v="3"/>
    <x v="0"/>
    <x v="1"/>
    <n v="75"/>
    <n v="6.19"/>
    <n v="464.25"/>
    <x v="6"/>
  </r>
  <r>
    <n v="258"/>
    <d v="2026-01-24T00:00:00"/>
    <x v="4"/>
    <x v="3"/>
    <x v="1"/>
    <n v="80"/>
    <n v="2.93"/>
    <n v="234.4"/>
    <x v="6"/>
  </r>
  <r>
    <n v="194"/>
    <d v="2026-01-25T00:00:00"/>
    <x v="10"/>
    <x v="3"/>
    <x v="1"/>
    <n v="54"/>
    <n v="2.46"/>
    <n v="132.84"/>
    <x v="6"/>
  </r>
  <r>
    <n v="459"/>
    <d v="2026-01-26T00:00:00"/>
    <x v="0"/>
    <x v="0"/>
    <x v="0"/>
    <n v="57"/>
    <n v="11.57"/>
    <n v="659.49"/>
    <x v="6"/>
  </r>
  <r>
    <n v="583"/>
    <d v="2026-01-26T00:00:00"/>
    <x v="5"/>
    <x v="4"/>
    <x v="0"/>
    <n v="34"/>
    <n v="4.8600000000000003"/>
    <n v="165.24"/>
    <x v="6"/>
  </r>
  <r>
    <n v="454"/>
    <d v="2026-01-28T00:00:00"/>
    <x v="14"/>
    <x v="3"/>
    <x v="0"/>
    <n v="44"/>
    <n v="3.17"/>
    <n v="139.47999999999999"/>
    <x v="6"/>
  </r>
  <r>
    <n v="369"/>
    <d v="2026-01-29T00:00:00"/>
    <x v="10"/>
    <x v="3"/>
    <x v="1"/>
    <n v="52"/>
    <n v="2.46"/>
    <n v="127.92"/>
    <x v="6"/>
  </r>
  <r>
    <n v="326"/>
    <d v="2026-01-30T00:00:00"/>
    <x v="7"/>
    <x v="0"/>
    <x v="0"/>
    <n v="54"/>
    <n v="15.51"/>
    <n v="837.54"/>
    <x v="6"/>
  </r>
  <r>
    <n v="375"/>
    <d v="2026-01-30T00:00:00"/>
    <x v="15"/>
    <x v="3"/>
    <x v="0"/>
    <n v="42"/>
    <n v="5.86"/>
    <n v="246.12"/>
    <x v="6"/>
  </r>
  <r>
    <n v="433"/>
    <d v="2026-01-30T00:00:00"/>
    <x v="15"/>
    <x v="3"/>
    <x v="0"/>
    <n v="38"/>
    <n v="5.55"/>
    <n v="210.9"/>
    <x v="6"/>
  </r>
  <r>
    <n v="479"/>
    <d v="2026-01-30T00:00:00"/>
    <x v="18"/>
    <x v="1"/>
    <x v="1"/>
    <n v="43"/>
    <n v="2.13"/>
    <n v="91.59"/>
    <x v="6"/>
  </r>
  <r>
    <n v="531"/>
    <d v="2026-01-30T00:00:00"/>
    <x v="3"/>
    <x v="0"/>
    <x v="1"/>
    <n v="95"/>
    <n v="6.2"/>
    <n v="589"/>
    <x v="6"/>
  </r>
  <r>
    <n v="2"/>
    <d v="2026-01-31T00:00:00"/>
    <x v="11"/>
    <x v="4"/>
    <x v="1"/>
    <n v="82"/>
    <n v="1.49"/>
    <n v="122.18"/>
    <x v="6"/>
  </r>
  <r>
    <n v="12"/>
    <d v="2026-01-31T00:00:00"/>
    <x v="3"/>
    <x v="0"/>
    <x v="1"/>
    <n v="70"/>
    <n v="6.28"/>
    <n v="439.6"/>
    <x v="6"/>
  </r>
  <r>
    <n v="403"/>
    <d v="2026-02-01T00:00:00"/>
    <x v="2"/>
    <x v="2"/>
    <x v="1"/>
    <n v="88"/>
    <n v="2.2599999999999998"/>
    <n v="198.88"/>
    <x v="7"/>
  </r>
  <r>
    <n v="450"/>
    <d v="2026-02-01T00:00:00"/>
    <x v="7"/>
    <x v="0"/>
    <x v="0"/>
    <n v="58"/>
    <n v="15.97"/>
    <n v="926.26"/>
    <x v="7"/>
  </r>
  <r>
    <n v="473"/>
    <d v="2026-02-01T00:00:00"/>
    <x v="10"/>
    <x v="3"/>
    <x v="1"/>
    <n v="45"/>
    <n v="2.67"/>
    <n v="120.15"/>
    <x v="7"/>
  </r>
  <r>
    <n v="298"/>
    <d v="2026-02-02T00:00:00"/>
    <x v="19"/>
    <x v="5"/>
    <x v="0"/>
    <n v="41"/>
    <n v="8.1999999999999993"/>
    <n v="336.2"/>
    <x v="7"/>
  </r>
  <r>
    <n v="11"/>
    <d v="2026-02-03T00:00:00"/>
    <x v="9"/>
    <x v="5"/>
    <x v="1"/>
    <n v="58"/>
    <n v="2.67"/>
    <n v="154.86000000000001"/>
    <x v="7"/>
  </r>
  <r>
    <n v="30"/>
    <d v="2026-02-03T00:00:00"/>
    <x v="1"/>
    <x v="1"/>
    <x v="1"/>
    <n v="74"/>
    <n v="1.87"/>
    <n v="138.38"/>
    <x v="7"/>
  </r>
  <r>
    <n v="167"/>
    <d v="2026-02-03T00:00:00"/>
    <x v="14"/>
    <x v="3"/>
    <x v="0"/>
    <n v="40"/>
    <n v="3.34"/>
    <n v="133.6"/>
    <x v="7"/>
  </r>
  <r>
    <n v="303"/>
    <d v="2026-02-03T00:00:00"/>
    <x v="8"/>
    <x v="2"/>
    <x v="1"/>
    <n v="98"/>
    <n v="2.13"/>
    <n v="208.74"/>
    <x v="7"/>
  </r>
  <r>
    <n v="367"/>
    <d v="2026-02-04T00:00:00"/>
    <x v="1"/>
    <x v="1"/>
    <x v="1"/>
    <n v="45"/>
    <n v="1.84"/>
    <n v="82.8"/>
    <x v="7"/>
  </r>
  <r>
    <n v="527"/>
    <d v="2026-02-04T00:00:00"/>
    <x v="11"/>
    <x v="4"/>
    <x v="1"/>
    <n v="82"/>
    <n v="1.58"/>
    <n v="129.56"/>
    <x v="7"/>
  </r>
  <r>
    <n v="48"/>
    <d v="2026-02-05T00:00:00"/>
    <x v="0"/>
    <x v="0"/>
    <x v="0"/>
    <n v="42"/>
    <n v="11.98"/>
    <n v="503.16"/>
    <x v="7"/>
  </r>
  <r>
    <n v="68"/>
    <d v="2026-02-05T00:00:00"/>
    <x v="14"/>
    <x v="3"/>
    <x v="0"/>
    <n v="32"/>
    <n v="3.17"/>
    <n v="101.44"/>
    <x v="7"/>
  </r>
  <r>
    <n v="106"/>
    <d v="2026-02-05T00:00:00"/>
    <x v="4"/>
    <x v="3"/>
    <x v="1"/>
    <n v="61"/>
    <n v="3.21"/>
    <n v="195.81"/>
    <x v="7"/>
  </r>
  <r>
    <n v="280"/>
    <d v="2026-02-05T00:00:00"/>
    <x v="16"/>
    <x v="0"/>
    <x v="1"/>
    <n v="50"/>
    <n v="4.0599999999999996"/>
    <n v="203"/>
    <x v="7"/>
  </r>
  <r>
    <n v="381"/>
    <d v="2026-02-05T00:00:00"/>
    <x v="1"/>
    <x v="1"/>
    <x v="1"/>
    <n v="65"/>
    <n v="1.8"/>
    <n v="117"/>
    <x v="7"/>
  </r>
  <r>
    <n v="70"/>
    <d v="2026-02-07T00:00:00"/>
    <x v="13"/>
    <x v="1"/>
    <x v="0"/>
    <n v="26"/>
    <n v="6.7"/>
    <n v="174.2"/>
    <x v="7"/>
  </r>
  <r>
    <n v="117"/>
    <d v="2026-02-07T00:00:00"/>
    <x v="14"/>
    <x v="3"/>
    <x v="0"/>
    <n v="71"/>
    <n v="3.13"/>
    <n v="222.23"/>
    <x v="7"/>
  </r>
  <r>
    <n v="261"/>
    <d v="2026-02-07T00:00:00"/>
    <x v="2"/>
    <x v="2"/>
    <x v="1"/>
    <n v="29"/>
    <n v="2.25"/>
    <n v="65.25"/>
    <x v="7"/>
  </r>
  <r>
    <n v="142"/>
    <d v="2026-02-08T00:00:00"/>
    <x v="13"/>
    <x v="1"/>
    <x v="0"/>
    <n v="57"/>
    <n v="6.99"/>
    <n v="398.43"/>
    <x v="7"/>
  </r>
  <r>
    <n v="570"/>
    <d v="2026-02-09T00:00:00"/>
    <x v="17"/>
    <x v="2"/>
    <x v="0"/>
    <n v="48"/>
    <n v="5.38"/>
    <n v="258.24"/>
    <x v="7"/>
  </r>
  <r>
    <n v="493"/>
    <d v="2026-02-10T00:00:00"/>
    <x v="14"/>
    <x v="3"/>
    <x v="0"/>
    <n v="54"/>
    <n v="3.32"/>
    <n v="179.28"/>
    <x v="7"/>
  </r>
  <r>
    <n v="573"/>
    <d v="2026-02-10T00:00:00"/>
    <x v="15"/>
    <x v="3"/>
    <x v="0"/>
    <n v="50"/>
    <n v="5.66"/>
    <n v="283"/>
    <x v="7"/>
  </r>
  <r>
    <n v="229"/>
    <d v="2026-02-11T00:00:00"/>
    <x v="4"/>
    <x v="3"/>
    <x v="1"/>
    <n v="43"/>
    <n v="2.87"/>
    <n v="123.41"/>
    <x v="7"/>
  </r>
  <r>
    <n v="347"/>
    <d v="2026-02-11T00:00:00"/>
    <x v="14"/>
    <x v="3"/>
    <x v="0"/>
    <n v="32"/>
    <n v="3.2"/>
    <n v="102.4"/>
    <x v="7"/>
  </r>
  <r>
    <n v="232"/>
    <d v="2026-02-12T00:00:00"/>
    <x v="2"/>
    <x v="2"/>
    <x v="1"/>
    <n v="54"/>
    <n v="2.2999999999999998"/>
    <n v="124.2"/>
    <x v="7"/>
  </r>
  <r>
    <n v="559"/>
    <d v="2026-02-12T00:00:00"/>
    <x v="10"/>
    <x v="3"/>
    <x v="1"/>
    <n v="49"/>
    <n v="2.5499999999999998"/>
    <n v="124.95"/>
    <x v="7"/>
  </r>
  <r>
    <n v="282"/>
    <d v="2026-02-13T00:00:00"/>
    <x v="2"/>
    <x v="2"/>
    <x v="1"/>
    <n v="56"/>
    <n v="2.3199999999999998"/>
    <n v="129.91999999999999"/>
    <x v="7"/>
  </r>
  <r>
    <n v="407"/>
    <d v="2026-02-13T00:00:00"/>
    <x v="11"/>
    <x v="4"/>
    <x v="1"/>
    <n v="53"/>
    <n v="1.54"/>
    <n v="81.62"/>
    <x v="7"/>
  </r>
  <r>
    <n v="139"/>
    <d v="2026-02-14T00:00:00"/>
    <x v="10"/>
    <x v="3"/>
    <x v="1"/>
    <n v="43"/>
    <n v="2.5299999999999998"/>
    <n v="108.79"/>
    <x v="7"/>
  </r>
  <r>
    <n v="91"/>
    <d v="2026-02-15T00:00:00"/>
    <x v="13"/>
    <x v="1"/>
    <x v="0"/>
    <n v="35"/>
    <n v="6.93"/>
    <n v="242.55"/>
    <x v="7"/>
  </r>
  <r>
    <n v="20"/>
    <d v="2026-02-16T00:00:00"/>
    <x v="5"/>
    <x v="4"/>
    <x v="0"/>
    <n v="55"/>
    <n v="4.88"/>
    <n v="268.39999999999998"/>
    <x v="7"/>
  </r>
  <r>
    <n v="346"/>
    <d v="2026-02-16T00:00:00"/>
    <x v="2"/>
    <x v="2"/>
    <x v="1"/>
    <n v="57"/>
    <n v="2.23"/>
    <n v="127.11"/>
    <x v="7"/>
  </r>
  <r>
    <n v="304"/>
    <d v="2026-02-17T00:00:00"/>
    <x v="10"/>
    <x v="3"/>
    <x v="1"/>
    <n v="53"/>
    <n v="2.68"/>
    <n v="142.04"/>
    <x v="7"/>
  </r>
  <r>
    <n v="374"/>
    <d v="2026-02-17T00:00:00"/>
    <x v="11"/>
    <x v="4"/>
    <x v="1"/>
    <n v="51"/>
    <n v="1.5"/>
    <n v="76.5"/>
    <x v="7"/>
  </r>
  <r>
    <n v="24"/>
    <d v="2026-02-18T00:00:00"/>
    <x v="10"/>
    <x v="3"/>
    <x v="1"/>
    <n v="31"/>
    <n v="2.54"/>
    <n v="78.739999999999995"/>
    <x v="7"/>
  </r>
  <r>
    <n v="49"/>
    <d v="2026-02-18T00:00:00"/>
    <x v="9"/>
    <x v="5"/>
    <x v="1"/>
    <n v="63"/>
    <n v="2.69"/>
    <n v="169.47"/>
    <x v="7"/>
  </r>
  <r>
    <n v="85"/>
    <d v="2026-02-18T00:00:00"/>
    <x v="14"/>
    <x v="3"/>
    <x v="0"/>
    <n v="50"/>
    <n v="3.44"/>
    <n v="172"/>
    <x v="7"/>
  </r>
  <r>
    <n v="576"/>
    <d v="2026-02-18T00:00:00"/>
    <x v="15"/>
    <x v="3"/>
    <x v="0"/>
    <n v="45"/>
    <n v="5.37"/>
    <n v="241.65"/>
    <x v="7"/>
  </r>
  <r>
    <n v="555"/>
    <d v="2026-02-20T00:00:00"/>
    <x v="4"/>
    <x v="3"/>
    <x v="1"/>
    <n v="43"/>
    <n v="3.11"/>
    <n v="133.72999999999999"/>
    <x v="7"/>
  </r>
  <r>
    <n v="66"/>
    <d v="2026-02-22T00:00:00"/>
    <x v="9"/>
    <x v="5"/>
    <x v="1"/>
    <n v="51"/>
    <n v="2.61"/>
    <n v="133.11000000000001"/>
    <x v="7"/>
  </r>
  <r>
    <n v="240"/>
    <d v="2026-02-22T00:00:00"/>
    <x v="0"/>
    <x v="0"/>
    <x v="0"/>
    <n v="24"/>
    <n v="12.64"/>
    <n v="303.36"/>
    <x v="7"/>
  </r>
  <r>
    <n v="132"/>
    <d v="2026-02-23T00:00:00"/>
    <x v="5"/>
    <x v="4"/>
    <x v="0"/>
    <n v="27"/>
    <n v="4.82"/>
    <n v="130.13999999999999"/>
    <x v="7"/>
  </r>
  <r>
    <n v="439"/>
    <d v="2026-02-23T00:00:00"/>
    <x v="5"/>
    <x v="4"/>
    <x v="0"/>
    <n v="81"/>
    <n v="4.8600000000000003"/>
    <n v="393.66"/>
    <x v="7"/>
  </r>
  <r>
    <n v="32"/>
    <d v="2026-02-25T00:00:00"/>
    <x v="3"/>
    <x v="0"/>
    <x v="1"/>
    <n v="29"/>
    <n v="5.95"/>
    <n v="172.55"/>
    <x v="7"/>
  </r>
  <r>
    <n v="123"/>
    <d v="2026-02-25T00:00:00"/>
    <x v="14"/>
    <x v="3"/>
    <x v="0"/>
    <n v="25"/>
    <n v="3.18"/>
    <n v="79.5"/>
    <x v="7"/>
  </r>
  <r>
    <n v="231"/>
    <d v="2026-02-26T00:00:00"/>
    <x v="5"/>
    <x v="4"/>
    <x v="0"/>
    <n v="48"/>
    <n v="5.33"/>
    <n v="255.84"/>
    <x v="7"/>
  </r>
  <r>
    <n v="6"/>
    <d v="2026-03-01T00:00:00"/>
    <x v="3"/>
    <x v="0"/>
    <x v="1"/>
    <n v="41"/>
    <n v="6.23"/>
    <n v="255.43"/>
    <x v="8"/>
  </r>
  <r>
    <n v="174"/>
    <d v="2026-03-01T00:00:00"/>
    <x v="9"/>
    <x v="5"/>
    <x v="1"/>
    <n v="78"/>
    <n v="2.5299999999999998"/>
    <n v="197.34"/>
    <x v="8"/>
  </r>
  <r>
    <n v="443"/>
    <d v="2026-03-03T00:00:00"/>
    <x v="0"/>
    <x v="0"/>
    <x v="0"/>
    <n v="45"/>
    <n v="12.91"/>
    <n v="580.95000000000005"/>
    <x v="8"/>
  </r>
  <r>
    <n v="221"/>
    <d v="2026-03-04T00:00:00"/>
    <x v="5"/>
    <x v="4"/>
    <x v="0"/>
    <n v="35"/>
    <n v="5.0599999999999996"/>
    <n v="177.1"/>
    <x v="8"/>
  </r>
  <r>
    <n v="455"/>
    <d v="2026-03-05T00:00:00"/>
    <x v="4"/>
    <x v="3"/>
    <x v="1"/>
    <n v="47"/>
    <n v="3.18"/>
    <n v="149.46"/>
    <x v="8"/>
  </r>
  <r>
    <n v="80"/>
    <d v="2026-03-06T00:00:00"/>
    <x v="4"/>
    <x v="3"/>
    <x v="1"/>
    <n v="65"/>
    <n v="3.14"/>
    <n v="204.1"/>
    <x v="8"/>
  </r>
  <r>
    <n v="526"/>
    <d v="2026-03-06T00:00:00"/>
    <x v="2"/>
    <x v="2"/>
    <x v="1"/>
    <n v="79"/>
    <n v="2.34"/>
    <n v="184.86"/>
    <x v="8"/>
  </r>
  <r>
    <n v="519"/>
    <d v="2026-03-07T00:00:00"/>
    <x v="15"/>
    <x v="3"/>
    <x v="0"/>
    <n v="36"/>
    <n v="5.57"/>
    <n v="200.52"/>
    <x v="8"/>
  </r>
  <r>
    <n v="408"/>
    <d v="2026-03-08T00:00:00"/>
    <x v="19"/>
    <x v="5"/>
    <x v="0"/>
    <n v="42"/>
    <n v="8.57"/>
    <n v="359.94"/>
    <x v="8"/>
  </r>
  <r>
    <n v="363"/>
    <d v="2026-03-09T00:00:00"/>
    <x v="5"/>
    <x v="4"/>
    <x v="0"/>
    <n v="17"/>
    <n v="5.16"/>
    <n v="87.72"/>
    <x v="8"/>
  </r>
  <r>
    <n v="77"/>
    <d v="2026-03-10T00:00:00"/>
    <x v="2"/>
    <x v="2"/>
    <x v="1"/>
    <n v="77"/>
    <n v="2.2000000000000002"/>
    <n v="169.4"/>
    <x v="8"/>
  </r>
  <r>
    <n v="107"/>
    <d v="2026-03-10T00:00:00"/>
    <x v="9"/>
    <x v="5"/>
    <x v="1"/>
    <n v="68"/>
    <n v="2.5099999999999998"/>
    <n v="170.68"/>
    <x v="8"/>
  </r>
  <r>
    <n v="333"/>
    <d v="2026-03-11T00:00:00"/>
    <x v="1"/>
    <x v="1"/>
    <x v="1"/>
    <n v="85"/>
    <n v="1.81"/>
    <n v="153.85"/>
    <x v="8"/>
  </r>
  <r>
    <n v="435"/>
    <d v="2026-03-11T00:00:00"/>
    <x v="0"/>
    <x v="0"/>
    <x v="0"/>
    <n v="41"/>
    <n v="11.56"/>
    <n v="473.96"/>
    <x v="8"/>
  </r>
  <r>
    <n v="471"/>
    <d v="2026-03-12T00:00:00"/>
    <x v="1"/>
    <x v="1"/>
    <x v="1"/>
    <n v="53"/>
    <n v="1.88"/>
    <n v="99.64"/>
    <x v="8"/>
  </r>
  <r>
    <n v="593"/>
    <d v="2026-03-12T00:00:00"/>
    <x v="10"/>
    <x v="3"/>
    <x v="1"/>
    <n v="46"/>
    <n v="2.54"/>
    <n v="116.84"/>
    <x v="8"/>
  </r>
  <r>
    <n v="390"/>
    <d v="2026-03-13T00:00:00"/>
    <x v="1"/>
    <x v="1"/>
    <x v="1"/>
    <n v="59"/>
    <n v="1.84"/>
    <n v="108.56"/>
    <x v="8"/>
  </r>
  <r>
    <n v="72"/>
    <d v="2026-03-14T00:00:00"/>
    <x v="8"/>
    <x v="2"/>
    <x v="1"/>
    <n v="29"/>
    <n v="2.06"/>
    <n v="59.74"/>
    <x v="8"/>
  </r>
  <r>
    <n v="171"/>
    <d v="2026-03-14T00:00:00"/>
    <x v="1"/>
    <x v="1"/>
    <x v="1"/>
    <n v="47"/>
    <n v="1.91"/>
    <n v="89.77"/>
    <x v="8"/>
  </r>
  <r>
    <n v="257"/>
    <d v="2026-03-14T00:00:00"/>
    <x v="15"/>
    <x v="3"/>
    <x v="0"/>
    <n v="22"/>
    <n v="5.84"/>
    <n v="128.47999999999999"/>
    <x v="8"/>
  </r>
  <r>
    <n v="348"/>
    <d v="2026-03-15T00:00:00"/>
    <x v="5"/>
    <x v="4"/>
    <x v="0"/>
    <n v="23"/>
    <n v="5.29"/>
    <n v="121.67"/>
    <x v="8"/>
  </r>
  <r>
    <n v="340"/>
    <d v="2026-03-16T00:00:00"/>
    <x v="10"/>
    <x v="3"/>
    <x v="1"/>
    <n v="93"/>
    <n v="2.5"/>
    <n v="232.5"/>
    <x v="8"/>
  </r>
  <r>
    <n v="114"/>
    <d v="2026-03-17T00:00:00"/>
    <x v="8"/>
    <x v="2"/>
    <x v="1"/>
    <n v="40"/>
    <n v="2.06"/>
    <n v="82.4"/>
    <x v="8"/>
  </r>
  <r>
    <n v="148"/>
    <d v="2026-03-18T00:00:00"/>
    <x v="19"/>
    <x v="5"/>
    <x v="0"/>
    <n v="67"/>
    <n v="7.94"/>
    <n v="531.98"/>
    <x v="8"/>
  </r>
  <r>
    <n v="380"/>
    <d v="2026-03-18T00:00:00"/>
    <x v="1"/>
    <x v="1"/>
    <x v="1"/>
    <n v="76"/>
    <n v="1.71"/>
    <n v="129.96"/>
    <x v="8"/>
  </r>
  <r>
    <n v="61"/>
    <d v="2026-03-19T00:00:00"/>
    <x v="15"/>
    <x v="3"/>
    <x v="0"/>
    <n v="74"/>
    <n v="5.32"/>
    <n v="393.68"/>
    <x v="8"/>
  </r>
  <r>
    <n v="9"/>
    <d v="2026-03-21T00:00:00"/>
    <x v="4"/>
    <x v="3"/>
    <x v="1"/>
    <n v="33"/>
    <n v="3.14"/>
    <n v="103.62"/>
    <x v="8"/>
  </r>
  <r>
    <n v="60"/>
    <d v="2026-03-21T00:00:00"/>
    <x v="19"/>
    <x v="5"/>
    <x v="0"/>
    <n v="64"/>
    <n v="8.08"/>
    <n v="517.12"/>
    <x v="8"/>
  </r>
  <r>
    <n v="448"/>
    <d v="2026-03-22T00:00:00"/>
    <x v="9"/>
    <x v="5"/>
    <x v="1"/>
    <n v="48"/>
    <n v="2.41"/>
    <n v="115.68"/>
    <x v="8"/>
  </r>
  <r>
    <n v="485"/>
    <d v="2026-03-22T00:00:00"/>
    <x v="1"/>
    <x v="1"/>
    <x v="1"/>
    <n v="57"/>
    <n v="1.92"/>
    <n v="109.44"/>
    <x v="8"/>
  </r>
  <r>
    <n v="536"/>
    <d v="2026-03-22T00:00:00"/>
    <x v="14"/>
    <x v="3"/>
    <x v="0"/>
    <n v="64"/>
    <n v="3.21"/>
    <n v="205.44"/>
    <x v="8"/>
  </r>
  <r>
    <n v="223"/>
    <d v="2026-03-23T00:00:00"/>
    <x v="5"/>
    <x v="4"/>
    <x v="0"/>
    <n v="11"/>
    <n v="5.3"/>
    <n v="58.3"/>
    <x v="8"/>
  </r>
  <r>
    <n v="360"/>
    <d v="2026-03-23T00:00:00"/>
    <x v="11"/>
    <x v="4"/>
    <x v="1"/>
    <n v="62"/>
    <n v="1.57"/>
    <n v="97.34"/>
    <x v="8"/>
  </r>
  <r>
    <n v="495"/>
    <d v="2026-03-23T00:00:00"/>
    <x v="6"/>
    <x v="2"/>
    <x v="0"/>
    <n v="48"/>
    <n v="6.38"/>
    <n v="306.24"/>
    <x v="8"/>
  </r>
  <r>
    <n v="437"/>
    <d v="2026-03-24T00:00:00"/>
    <x v="5"/>
    <x v="4"/>
    <x v="0"/>
    <n v="61"/>
    <n v="5.13"/>
    <n v="312.93"/>
    <x v="8"/>
  </r>
  <r>
    <n v="470"/>
    <d v="2026-03-25T00:00:00"/>
    <x v="1"/>
    <x v="1"/>
    <x v="1"/>
    <n v="57"/>
    <n v="1.89"/>
    <n v="107.73"/>
    <x v="8"/>
  </r>
  <r>
    <n v="489"/>
    <d v="2026-03-25T00:00:00"/>
    <x v="1"/>
    <x v="1"/>
    <x v="1"/>
    <n v="67"/>
    <n v="1.71"/>
    <n v="114.57"/>
    <x v="8"/>
  </r>
  <r>
    <n v="384"/>
    <d v="2026-03-26T00:00:00"/>
    <x v="7"/>
    <x v="0"/>
    <x v="0"/>
    <n v="25"/>
    <n v="15.53"/>
    <n v="388.25"/>
    <x v="8"/>
  </r>
  <r>
    <n v="391"/>
    <d v="2026-03-26T00:00:00"/>
    <x v="14"/>
    <x v="3"/>
    <x v="0"/>
    <n v="34"/>
    <n v="3.44"/>
    <n v="116.96"/>
    <x v="8"/>
  </r>
  <r>
    <n v="445"/>
    <d v="2026-03-26T00:00:00"/>
    <x v="4"/>
    <x v="3"/>
    <x v="1"/>
    <n v="51"/>
    <n v="2.91"/>
    <n v="148.41"/>
    <x v="8"/>
  </r>
  <r>
    <n v="543"/>
    <d v="2026-03-26T00:00:00"/>
    <x v="18"/>
    <x v="1"/>
    <x v="1"/>
    <n v="39"/>
    <n v="2.34"/>
    <n v="91.26"/>
    <x v="8"/>
  </r>
  <r>
    <n v="402"/>
    <d v="2026-03-30T00:00:00"/>
    <x v="11"/>
    <x v="4"/>
    <x v="1"/>
    <n v="47"/>
    <n v="1.55"/>
    <n v="72.849999999999994"/>
    <x v="8"/>
  </r>
  <r>
    <n v="95"/>
    <d v="2026-04-01T00:00:00"/>
    <x v="2"/>
    <x v="2"/>
    <x v="1"/>
    <n v="70"/>
    <n v="2.12"/>
    <n v="148.4"/>
    <x v="9"/>
  </r>
  <r>
    <n v="319"/>
    <d v="2026-04-01T00:00:00"/>
    <x v="4"/>
    <x v="3"/>
    <x v="1"/>
    <n v="63"/>
    <n v="3.11"/>
    <n v="195.93"/>
    <x v="9"/>
  </r>
  <r>
    <n v="354"/>
    <d v="2026-04-02T00:00:00"/>
    <x v="6"/>
    <x v="2"/>
    <x v="0"/>
    <n v="28"/>
    <n v="6.34"/>
    <n v="177.52"/>
    <x v="9"/>
  </r>
  <r>
    <n v="432"/>
    <d v="2026-04-03T00:00:00"/>
    <x v="5"/>
    <x v="4"/>
    <x v="0"/>
    <n v="71"/>
    <n v="5.24"/>
    <n v="372.04"/>
    <x v="9"/>
  </r>
  <r>
    <n v="83"/>
    <d v="2026-04-05T00:00:00"/>
    <x v="14"/>
    <x v="3"/>
    <x v="0"/>
    <n v="45"/>
    <n v="3.38"/>
    <n v="152.1"/>
    <x v="9"/>
  </r>
  <r>
    <n v="345"/>
    <d v="2026-04-05T00:00:00"/>
    <x v="4"/>
    <x v="3"/>
    <x v="1"/>
    <n v="76"/>
    <n v="3.05"/>
    <n v="231.8"/>
    <x v="9"/>
  </r>
  <r>
    <n v="436"/>
    <d v="2026-04-05T00:00:00"/>
    <x v="14"/>
    <x v="3"/>
    <x v="0"/>
    <n v="102"/>
    <n v="3.22"/>
    <n v="328.44"/>
    <x v="9"/>
  </r>
  <r>
    <n v="335"/>
    <d v="2026-04-06T00:00:00"/>
    <x v="14"/>
    <x v="3"/>
    <x v="0"/>
    <n v="55"/>
    <n v="3.15"/>
    <n v="173.25"/>
    <x v="9"/>
  </r>
  <r>
    <n v="517"/>
    <d v="2026-04-06T00:00:00"/>
    <x v="4"/>
    <x v="3"/>
    <x v="1"/>
    <n v="45"/>
    <n v="3.16"/>
    <n v="142.19999999999999"/>
    <x v="9"/>
  </r>
  <r>
    <n v="51"/>
    <d v="2026-04-07T00:00:00"/>
    <x v="9"/>
    <x v="5"/>
    <x v="1"/>
    <n v="66"/>
    <n v="2.41"/>
    <n v="159.06"/>
    <x v="9"/>
  </r>
  <r>
    <n v="355"/>
    <d v="2026-04-07T00:00:00"/>
    <x v="9"/>
    <x v="5"/>
    <x v="1"/>
    <n v="99"/>
    <n v="2.62"/>
    <n v="259.38"/>
    <x v="9"/>
  </r>
  <r>
    <n v="447"/>
    <d v="2026-04-07T00:00:00"/>
    <x v="0"/>
    <x v="0"/>
    <x v="0"/>
    <n v="48"/>
    <n v="11.69"/>
    <n v="561.12"/>
    <x v="9"/>
  </r>
  <r>
    <n v="556"/>
    <d v="2026-04-07T00:00:00"/>
    <x v="14"/>
    <x v="3"/>
    <x v="0"/>
    <n v="37"/>
    <n v="3.37"/>
    <n v="124.69"/>
    <x v="9"/>
  </r>
  <r>
    <n v="285"/>
    <d v="2026-04-08T00:00:00"/>
    <x v="13"/>
    <x v="1"/>
    <x v="0"/>
    <n v="74"/>
    <n v="6.49"/>
    <n v="480.26"/>
    <x v="9"/>
  </r>
  <r>
    <n v="18"/>
    <d v="2026-04-09T00:00:00"/>
    <x v="17"/>
    <x v="2"/>
    <x v="0"/>
    <n v="59"/>
    <n v="5.3"/>
    <n v="312.7"/>
    <x v="9"/>
  </r>
  <r>
    <n v="446"/>
    <d v="2026-04-09T00:00:00"/>
    <x v="2"/>
    <x v="2"/>
    <x v="1"/>
    <n v="72"/>
    <n v="2.2400000000000002"/>
    <n v="161.28"/>
    <x v="9"/>
  </r>
  <r>
    <n v="292"/>
    <d v="2026-04-10T00:00:00"/>
    <x v="17"/>
    <x v="2"/>
    <x v="0"/>
    <n v="47"/>
    <n v="5.7"/>
    <n v="267.89999999999998"/>
    <x v="9"/>
  </r>
  <r>
    <n v="119"/>
    <d v="2026-04-12T00:00:00"/>
    <x v="11"/>
    <x v="4"/>
    <x v="1"/>
    <n v="50"/>
    <n v="1.53"/>
    <n v="76.5"/>
    <x v="9"/>
  </r>
  <r>
    <n v="180"/>
    <d v="2026-04-12T00:00:00"/>
    <x v="2"/>
    <x v="2"/>
    <x v="1"/>
    <n v="57"/>
    <n v="2.11"/>
    <n v="120.27"/>
    <x v="9"/>
  </r>
  <r>
    <n v="451"/>
    <d v="2026-04-12T00:00:00"/>
    <x v="17"/>
    <x v="2"/>
    <x v="0"/>
    <n v="34"/>
    <n v="5.47"/>
    <n v="185.98"/>
    <x v="9"/>
  </r>
  <r>
    <n v="466"/>
    <d v="2026-04-12T00:00:00"/>
    <x v="10"/>
    <x v="3"/>
    <x v="1"/>
    <n v="43"/>
    <n v="2.5299999999999998"/>
    <n v="108.79"/>
    <x v="9"/>
  </r>
  <r>
    <n v="533"/>
    <d v="2026-04-12T00:00:00"/>
    <x v="19"/>
    <x v="5"/>
    <x v="0"/>
    <n v="42"/>
    <n v="8.26"/>
    <n v="346.92"/>
    <x v="9"/>
  </r>
  <r>
    <n v="52"/>
    <d v="2026-04-14T00:00:00"/>
    <x v="19"/>
    <x v="5"/>
    <x v="0"/>
    <n v="76"/>
    <n v="7.75"/>
    <n v="589"/>
    <x v="9"/>
  </r>
  <r>
    <n v="387"/>
    <d v="2026-04-14T00:00:00"/>
    <x v="0"/>
    <x v="0"/>
    <x v="0"/>
    <n v="20"/>
    <n v="12.67"/>
    <n v="253.4"/>
    <x v="9"/>
  </r>
  <r>
    <n v="14"/>
    <d v="2026-04-15T00:00:00"/>
    <x v="9"/>
    <x v="5"/>
    <x v="1"/>
    <n v="70"/>
    <n v="2.59"/>
    <n v="181.3"/>
    <x v="9"/>
  </r>
  <r>
    <n v="109"/>
    <d v="2026-04-15T00:00:00"/>
    <x v="11"/>
    <x v="4"/>
    <x v="1"/>
    <n v="43"/>
    <n v="1.59"/>
    <n v="68.37"/>
    <x v="9"/>
  </r>
  <r>
    <n v="265"/>
    <d v="2026-04-15T00:00:00"/>
    <x v="0"/>
    <x v="0"/>
    <x v="0"/>
    <n v="61"/>
    <n v="11.63"/>
    <n v="709.43"/>
    <x v="9"/>
  </r>
  <r>
    <n v="538"/>
    <d v="2026-04-16T00:00:00"/>
    <x v="9"/>
    <x v="5"/>
    <x v="1"/>
    <n v="52"/>
    <n v="2.54"/>
    <n v="132.08000000000001"/>
    <x v="9"/>
  </r>
  <r>
    <n v="202"/>
    <d v="2026-04-18T00:00:00"/>
    <x v="1"/>
    <x v="1"/>
    <x v="1"/>
    <n v="41"/>
    <n v="1.8"/>
    <n v="73.8"/>
    <x v="9"/>
  </r>
  <r>
    <n v="295"/>
    <d v="2026-04-19T00:00:00"/>
    <x v="10"/>
    <x v="3"/>
    <x v="1"/>
    <n v="32"/>
    <n v="2.4300000000000002"/>
    <n v="77.760000000000005"/>
    <x v="9"/>
  </r>
  <r>
    <n v="133"/>
    <d v="2026-04-20T00:00:00"/>
    <x v="13"/>
    <x v="1"/>
    <x v="0"/>
    <n v="50"/>
    <n v="6.33"/>
    <n v="316.5"/>
    <x v="9"/>
  </r>
  <r>
    <n v="431"/>
    <d v="2026-04-20T00:00:00"/>
    <x v="19"/>
    <x v="5"/>
    <x v="0"/>
    <n v="44"/>
    <n v="7.95"/>
    <n v="349.8"/>
    <x v="9"/>
  </r>
  <r>
    <n v="457"/>
    <d v="2026-04-20T00:00:00"/>
    <x v="15"/>
    <x v="3"/>
    <x v="0"/>
    <n v="54"/>
    <n v="5.85"/>
    <n v="315.89999999999998"/>
    <x v="9"/>
  </r>
  <r>
    <n v="283"/>
    <d v="2026-04-21T00:00:00"/>
    <x v="19"/>
    <x v="5"/>
    <x v="0"/>
    <n v="29"/>
    <n v="8"/>
    <n v="232"/>
    <x v="9"/>
  </r>
  <r>
    <n v="394"/>
    <d v="2026-04-21T00:00:00"/>
    <x v="6"/>
    <x v="2"/>
    <x v="0"/>
    <n v="13"/>
    <n v="6.29"/>
    <n v="81.77"/>
    <x v="9"/>
  </r>
  <r>
    <n v="203"/>
    <d v="2026-04-22T00:00:00"/>
    <x v="18"/>
    <x v="1"/>
    <x v="1"/>
    <n v="37"/>
    <n v="2.25"/>
    <n v="83.25"/>
    <x v="9"/>
  </r>
  <r>
    <n v="165"/>
    <d v="2026-04-25T00:00:00"/>
    <x v="7"/>
    <x v="0"/>
    <x v="0"/>
    <n v="42"/>
    <n v="14.69"/>
    <n v="616.98"/>
    <x v="9"/>
  </r>
  <r>
    <n v="135"/>
    <d v="2026-04-26T00:00:00"/>
    <x v="12"/>
    <x v="1"/>
    <x v="0"/>
    <n v="5"/>
    <n v="4.6500000000000004"/>
    <n v="23.25"/>
    <x v="9"/>
  </r>
  <r>
    <n v="94"/>
    <d v="2026-04-27T00:00:00"/>
    <x v="18"/>
    <x v="1"/>
    <x v="1"/>
    <n v="63"/>
    <n v="2.29"/>
    <n v="144.27000000000001"/>
    <x v="9"/>
  </r>
  <r>
    <n v="409"/>
    <d v="2026-04-27T00:00:00"/>
    <x v="13"/>
    <x v="1"/>
    <x v="0"/>
    <n v="66"/>
    <n v="6.27"/>
    <n v="413.82"/>
    <x v="9"/>
  </r>
  <r>
    <n v="498"/>
    <d v="2026-04-27T00:00:00"/>
    <x v="10"/>
    <x v="3"/>
    <x v="1"/>
    <n v="43"/>
    <n v="2.41"/>
    <n v="103.63"/>
    <x v="9"/>
  </r>
  <r>
    <n v="305"/>
    <d v="2026-04-28T00:00:00"/>
    <x v="8"/>
    <x v="2"/>
    <x v="1"/>
    <n v="66"/>
    <n v="2"/>
    <n v="132"/>
    <x v="9"/>
  </r>
  <r>
    <n v="270"/>
    <d v="2026-05-01T00:00:00"/>
    <x v="6"/>
    <x v="2"/>
    <x v="0"/>
    <n v="54"/>
    <n v="6.25"/>
    <n v="337.5"/>
    <x v="10"/>
  </r>
  <r>
    <n v="405"/>
    <d v="2026-05-01T00:00:00"/>
    <x v="14"/>
    <x v="3"/>
    <x v="0"/>
    <n v="64"/>
    <n v="3.45"/>
    <n v="220.8"/>
    <x v="10"/>
  </r>
  <r>
    <n v="116"/>
    <d v="2026-05-02T00:00:00"/>
    <x v="7"/>
    <x v="0"/>
    <x v="0"/>
    <n v="40"/>
    <n v="16.14"/>
    <n v="645.6"/>
    <x v="10"/>
  </r>
  <r>
    <n v="475"/>
    <d v="2026-05-04T00:00:00"/>
    <x v="9"/>
    <x v="5"/>
    <x v="1"/>
    <n v="80"/>
    <n v="2.58"/>
    <n v="206.4"/>
    <x v="10"/>
  </r>
  <r>
    <n v="157"/>
    <d v="2026-05-05T00:00:00"/>
    <x v="15"/>
    <x v="3"/>
    <x v="0"/>
    <n v="5"/>
    <n v="5.46"/>
    <n v="27.3"/>
    <x v="10"/>
  </r>
  <r>
    <n v="173"/>
    <d v="2026-05-05T00:00:00"/>
    <x v="15"/>
    <x v="3"/>
    <x v="0"/>
    <n v="53"/>
    <n v="5.31"/>
    <n v="281.43"/>
    <x v="10"/>
  </r>
  <r>
    <n v="561"/>
    <d v="2026-05-06T00:00:00"/>
    <x v="7"/>
    <x v="0"/>
    <x v="0"/>
    <n v="57"/>
    <n v="14.5"/>
    <n v="826.5"/>
    <x v="10"/>
  </r>
  <r>
    <n v="563"/>
    <d v="2026-05-06T00:00:00"/>
    <x v="0"/>
    <x v="0"/>
    <x v="0"/>
    <n v="29"/>
    <n v="11.49"/>
    <n v="333.21"/>
    <x v="10"/>
  </r>
  <r>
    <n v="111"/>
    <d v="2026-05-07T00:00:00"/>
    <x v="8"/>
    <x v="2"/>
    <x v="1"/>
    <n v="84"/>
    <n v="2.14"/>
    <n v="179.76"/>
    <x v="10"/>
  </r>
  <r>
    <n v="220"/>
    <d v="2026-05-07T00:00:00"/>
    <x v="3"/>
    <x v="0"/>
    <x v="1"/>
    <n v="71"/>
    <n v="5.72"/>
    <n v="406.12"/>
    <x v="10"/>
  </r>
  <r>
    <n v="343"/>
    <d v="2026-05-07T00:00:00"/>
    <x v="13"/>
    <x v="1"/>
    <x v="0"/>
    <n v="67"/>
    <n v="6.18"/>
    <n v="414.06"/>
    <x v="10"/>
  </r>
  <r>
    <n v="476"/>
    <d v="2026-05-07T00:00:00"/>
    <x v="14"/>
    <x v="3"/>
    <x v="0"/>
    <n v="40"/>
    <n v="3.14"/>
    <n v="125.6"/>
    <x v="10"/>
  </r>
  <r>
    <n v="108"/>
    <d v="2026-05-08T00:00:00"/>
    <x v="2"/>
    <x v="2"/>
    <x v="1"/>
    <n v="81"/>
    <n v="2.14"/>
    <n v="173.34"/>
    <x v="10"/>
  </r>
  <r>
    <n v="205"/>
    <d v="2026-05-08T00:00:00"/>
    <x v="1"/>
    <x v="1"/>
    <x v="1"/>
    <n v="32"/>
    <n v="1.91"/>
    <n v="61.12"/>
    <x v="10"/>
  </r>
  <r>
    <n v="185"/>
    <d v="2026-05-09T00:00:00"/>
    <x v="15"/>
    <x v="3"/>
    <x v="0"/>
    <n v="46"/>
    <n v="5.35"/>
    <n v="246.1"/>
    <x v="10"/>
  </r>
  <r>
    <n v="571"/>
    <d v="2026-05-09T00:00:00"/>
    <x v="10"/>
    <x v="3"/>
    <x v="1"/>
    <n v="72"/>
    <n v="2.69"/>
    <n v="193.68"/>
    <x v="10"/>
  </r>
  <r>
    <n v="4"/>
    <d v="2026-05-10T00:00:00"/>
    <x v="10"/>
    <x v="3"/>
    <x v="1"/>
    <n v="45"/>
    <n v="2.5499999999999998"/>
    <n v="114.75"/>
    <x v="10"/>
  </r>
  <r>
    <n v="79"/>
    <d v="2026-05-10T00:00:00"/>
    <x v="6"/>
    <x v="2"/>
    <x v="0"/>
    <n v="51"/>
    <n v="6.33"/>
    <n v="322.83"/>
    <x v="10"/>
  </r>
  <r>
    <n v="379"/>
    <d v="2026-05-10T00:00:00"/>
    <x v="19"/>
    <x v="5"/>
    <x v="0"/>
    <n v="34"/>
    <n v="8.0299999999999994"/>
    <n v="273.02"/>
    <x v="10"/>
  </r>
  <r>
    <n v="215"/>
    <d v="2026-05-11T00:00:00"/>
    <x v="17"/>
    <x v="2"/>
    <x v="0"/>
    <n v="43"/>
    <n v="5.6"/>
    <n v="240.8"/>
    <x v="10"/>
  </r>
  <r>
    <n v="510"/>
    <d v="2026-05-11T00:00:00"/>
    <x v="11"/>
    <x v="4"/>
    <x v="1"/>
    <n v="48"/>
    <n v="1.45"/>
    <n v="69.599999999999994"/>
    <x v="10"/>
  </r>
  <r>
    <n v="153"/>
    <d v="2026-05-12T00:00:00"/>
    <x v="4"/>
    <x v="3"/>
    <x v="1"/>
    <n v="64"/>
    <n v="3.05"/>
    <n v="195.2"/>
    <x v="10"/>
  </r>
  <r>
    <n v="338"/>
    <d v="2026-05-12T00:00:00"/>
    <x v="8"/>
    <x v="2"/>
    <x v="1"/>
    <n v="27"/>
    <n v="1.92"/>
    <n v="51.84"/>
    <x v="10"/>
  </r>
  <r>
    <n v="350"/>
    <d v="2026-05-12T00:00:00"/>
    <x v="18"/>
    <x v="1"/>
    <x v="1"/>
    <n v="45"/>
    <n v="2.23"/>
    <n v="100.35"/>
    <x v="10"/>
  </r>
  <r>
    <n v="417"/>
    <d v="2026-05-12T00:00:00"/>
    <x v="14"/>
    <x v="3"/>
    <x v="0"/>
    <n v="58"/>
    <n v="3.44"/>
    <n v="199.52"/>
    <x v="10"/>
  </r>
  <r>
    <n v="554"/>
    <d v="2026-05-12T00:00:00"/>
    <x v="14"/>
    <x v="3"/>
    <x v="0"/>
    <n v="51"/>
    <n v="3.15"/>
    <n v="160.65"/>
    <x v="10"/>
  </r>
  <r>
    <n v="47"/>
    <d v="2026-05-13T00:00:00"/>
    <x v="1"/>
    <x v="1"/>
    <x v="1"/>
    <n v="55"/>
    <n v="1.75"/>
    <n v="96.25"/>
    <x v="10"/>
  </r>
  <r>
    <n v="151"/>
    <d v="2026-05-14T00:00:00"/>
    <x v="13"/>
    <x v="1"/>
    <x v="0"/>
    <n v="35"/>
    <n v="6.96"/>
    <n v="243.6"/>
    <x v="10"/>
  </r>
  <r>
    <n v="287"/>
    <d v="2026-05-14T00:00:00"/>
    <x v="2"/>
    <x v="2"/>
    <x v="1"/>
    <n v="87"/>
    <n v="2.12"/>
    <n v="184.44"/>
    <x v="10"/>
  </r>
  <r>
    <n v="227"/>
    <d v="2026-05-15T00:00:00"/>
    <x v="2"/>
    <x v="2"/>
    <x v="1"/>
    <n v="53"/>
    <n v="2.2000000000000002"/>
    <n v="116.6"/>
    <x v="10"/>
  </r>
  <r>
    <n v="262"/>
    <d v="2026-05-15T00:00:00"/>
    <x v="7"/>
    <x v="0"/>
    <x v="0"/>
    <n v="55"/>
    <n v="14.86"/>
    <n v="817.3"/>
    <x v="10"/>
  </r>
  <r>
    <n v="152"/>
    <d v="2026-05-16T00:00:00"/>
    <x v="7"/>
    <x v="0"/>
    <x v="0"/>
    <n v="22"/>
    <n v="15.71"/>
    <n v="345.62"/>
    <x v="10"/>
  </r>
  <r>
    <n v="414"/>
    <d v="2026-05-16T00:00:00"/>
    <x v="11"/>
    <x v="4"/>
    <x v="1"/>
    <n v="64"/>
    <n v="1.51"/>
    <n v="96.64"/>
    <x v="10"/>
  </r>
  <r>
    <n v="578"/>
    <d v="2026-05-17T00:00:00"/>
    <x v="9"/>
    <x v="5"/>
    <x v="1"/>
    <n v="56"/>
    <n v="2.48"/>
    <n v="138.88"/>
    <x v="10"/>
  </r>
  <r>
    <n v="596"/>
    <d v="2026-05-19T00:00:00"/>
    <x v="14"/>
    <x v="3"/>
    <x v="0"/>
    <n v="18"/>
    <n v="3.05"/>
    <n v="54.9"/>
    <x v="10"/>
  </r>
  <r>
    <n v="308"/>
    <d v="2026-05-20T00:00:00"/>
    <x v="13"/>
    <x v="1"/>
    <x v="0"/>
    <n v="48"/>
    <n v="6.45"/>
    <n v="309.60000000000002"/>
    <x v="10"/>
  </r>
  <r>
    <n v="71"/>
    <d v="2026-05-21T00:00:00"/>
    <x v="10"/>
    <x v="3"/>
    <x v="1"/>
    <n v="80"/>
    <n v="2.54"/>
    <n v="203.2"/>
    <x v="10"/>
  </r>
  <r>
    <n v="507"/>
    <d v="2026-05-21T00:00:00"/>
    <x v="18"/>
    <x v="1"/>
    <x v="1"/>
    <n v="89"/>
    <n v="2.13"/>
    <n v="189.57"/>
    <x v="10"/>
  </r>
  <r>
    <n v="508"/>
    <d v="2026-05-21T00:00:00"/>
    <x v="19"/>
    <x v="5"/>
    <x v="0"/>
    <n v="36"/>
    <n v="8"/>
    <n v="288"/>
    <x v="10"/>
  </r>
  <r>
    <n v="550"/>
    <d v="2026-05-21T00:00:00"/>
    <x v="17"/>
    <x v="2"/>
    <x v="0"/>
    <n v="47"/>
    <n v="5.45"/>
    <n v="256.14999999999998"/>
    <x v="10"/>
  </r>
  <r>
    <n v="33"/>
    <d v="2026-05-22T00:00:00"/>
    <x v="10"/>
    <x v="3"/>
    <x v="1"/>
    <n v="85"/>
    <n v="2.38"/>
    <n v="202.3"/>
    <x v="10"/>
  </r>
  <r>
    <n v="126"/>
    <d v="2026-05-22T00:00:00"/>
    <x v="5"/>
    <x v="4"/>
    <x v="0"/>
    <n v="30"/>
    <n v="4.9800000000000004"/>
    <n v="149.4"/>
    <x v="10"/>
  </r>
  <r>
    <n v="197"/>
    <d v="2026-05-22T00:00:00"/>
    <x v="5"/>
    <x v="4"/>
    <x v="0"/>
    <n v="44"/>
    <n v="4.79"/>
    <n v="210.76"/>
    <x v="10"/>
  </r>
  <r>
    <n v="427"/>
    <d v="2026-05-23T00:00:00"/>
    <x v="5"/>
    <x v="4"/>
    <x v="0"/>
    <n v="39"/>
    <n v="5.21"/>
    <n v="203.19"/>
    <x v="10"/>
  </r>
  <r>
    <n v="464"/>
    <d v="2026-05-23T00:00:00"/>
    <x v="17"/>
    <x v="2"/>
    <x v="0"/>
    <n v="56"/>
    <n v="5.44"/>
    <n v="304.64"/>
    <x v="10"/>
  </r>
  <r>
    <n v="155"/>
    <d v="2026-05-24T00:00:00"/>
    <x v="17"/>
    <x v="2"/>
    <x v="0"/>
    <n v="49"/>
    <n v="5.61"/>
    <n v="274.89"/>
    <x v="10"/>
  </r>
  <r>
    <n v="272"/>
    <d v="2026-05-24T00:00:00"/>
    <x v="6"/>
    <x v="2"/>
    <x v="0"/>
    <n v="60"/>
    <n v="6.31"/>
    <n v="378.6"/>
    <x v="10"/>
  </r>
  <r>
    <n v="7"/>
    <d v="2026-05-25T00:00:00"/>
    <x v="10"/>
    <x v="3"/>
    <x v="1"/>
    <n v="56"/>
    <n v="2.5"/>
    <n v="140"/>
    <x v="10"/>
  </r>
  <r>
    <n v="188"/>
    <d v="2026-05-26T00:00:00"/>
    <x v="17"/>
    <x v="2"/>
    <x v="0"/>
    <n v="28"/>
    <n v="5.83"/>
    <n v="163.24"/>
    <x v="10"/>
  </r>
  <r>
    <n v="23"/>
    <d v="2026-05-27T00:00:00"/>
    <x v="0"/>
    <x v="0"/>
    <x v="0"/>
    <n v="60"/>
    <n v="11.4"/>
    <n v="684"/>
    <x v="10"/>
  </r>
  <r>
    <n v="310"/>
    <d v="2026-05-27T00:00:00"/>
    <x v="14"/>
    <x v="3"/>
    <x v="0"/>
    <n v="56"/>
    <n v="3.27"/>
    <n v="183.12"/>
    <x v="10"/>
  </r>
  <r>
    <n v="488"/>
    <d v="2026-05-28T00:00:00"/>
    <x v="0"/>
    <x v="0"/>
    <x v="0"/>
    <n v="17"/>
    <n v="12.51"/>
    <n v="212.67"/>
    <x v="10"/>
  </r>
  <r>
    <n v="377"/>
    <d v="2026-05-29T00:00:00"/>
    <x v="14"/>
    <x v="3"/>
    <x v="0"/>
    <n v="38"/>
    <n v="3.07"/>
    <n v="116.66"/>
    <x v="10"/>
  </r>
  <r>
    <n v="120"/>
    <d v="2026-05-31T00:00:00"/>
    <x v="3"/>
    <x v="0"/>
    <x v="1"/>
    <n v="67"/>
    <n v="6.44"/>
    <n v="431.48"/>
    <x v="10"/>
  </r>
  <r>
    <n v="546"/>
    <d v="2026-05-31T00:00:00"/>
    <x v="14"/>
    <x v="3"/>
    <x v="0"/>
    <n v="27"/>
    <n v="3.36"/>
    <n v="90.72"/>
    <x v="10"/>
  </r>
  <r>
    <n v="73"/>
    <d v="2026-06-01T00:00:00"/>
    <x v="10"/>
    <x v="3"/>
    <x v="1"/>
    <n v="66"/>
    <n v="2.56"/>
    <n v="168.96"/>
    <x v="11"/>
  </r>
  <r>
    <n v="440"/>
    <d v="2026-06-01T00:00:00"/>
    <x v="18"/>
    <x v="1"/>
    <x v="1"/>
    <n v="22"/>
    <n v="2.35"/>
    <n v="51.7"/>
    <x v="11"/>
  </r>
  <r>
    <n v="206"/>
    <d v="2026-06-02T00:00:00"/>
    <x v="4"/>
    <x v="3"/>
    <x v="1"/>
    <n v="57"/>
    <n v="3.09"/>
    <n v="176.13"/>
    <x v="11"/>
  </r>
  <r>
    <n v="529"/>
    <d v="2026-06-02T00:00:00"/>
    <x v="3"/>
    <x v="0"/>
    <x v="1"/>
    <n v="52"/>
    <n v="6.1"/>
    <n v="317.2"/>
    <x v="11"/>
  </r>
  <r>
    <n v="42"/>
    <d v="2026-06-03T00:00:00"/>
    <x v="8"/>
    <x v="2"/>
    <x v="1"/>
    <n v="52"/>
    <n v="2.0699999999999998"/>
    <n v="107.64"/>
    <x v="11"/>
  </r>
  <r>
    <n v="452"/>
    <d v="2026-06-03T00:00:00"/>
    <x v="6"/>
    <x v="2"/>
    <x v="0"/>
    <n v="37"/>
    <n v="6.18"/>
    <n v="228.66"/>
    <x v="11"/>
  </r>
  <r>
    <n v="552"/>
    <d v="2026-06-03T00:00:00"/>
    <x v="9"/>
    <x v="5"/>
    <x v="1"/>
    <n v="58"/>
    <n v="2.5099999999999998"/>
    <n v="145.58000000000001"/>
    <x v="11"/>
  </r>
  <r>
    <n v="86"/>
    <d v="2026-06-04T00:00:00"/>
    <x v="14"/>
    <x v="3"/>
    <x v="0"/>
    <n v="42"/>
    <n v="3.08"/>
    <n v="129.36000000000001"/>
    <x v="11"/>
  </r>
  <r>
    <n v="491"/>
    <d v="2026-06-05T00:00:00"/>
    <x v="1"/>
    <x v="1"/>
    <x v="1"/>
    <n v="74"/>
    <n v="1.87"/>
    <n v="138.38"/>
    <x v="11"/>
  </r>
  <r>
    <n v="58"/>
    <d v="2026-06-07T00:00:00"/>
    <x v="11"/>
    <x v="4"/>
    <x v="1"/>
    <n v="47"/>
    <n v="1.53"/>
    <n v="71.91"/>
    <x v="11"/>
  </r>
  <r>
    <n v="84"/>
    <d v="2026-06-07T00:00:00"/>
    <x v="0"/>
    <x v="0"/>
    <x v="0"/>
    <n v="61"/>
    <n v="12.01"/>
    <n v="732.61"/>
    <x v="11"/>
  </r>
  <r>
    <n v="29"/>
    <d v="2026-06-08T00:00:00"/>
    <x v="12"/>
    <x v="1"/>
    <x v="0"/>
    <n v="70"/>
    <n v="4.59"/>
    <n v="321.3"/>
    <x v="11"/>
  </r>
  <r>
    <n v="456"/>
    <d v="2026-06-08T00:00:00"/>
    <x v="8"/>
    <x v="2"/>
    <x v="1"/>
    <n v="64"/>
    <n v="2.0299999999999998"/>
    <n v="129.91999999999999"/>
    <x v="11"/>
  </r>
  <r>
    <n v="176"/>
    <d v="2026-06-09T00:00:00"/>
    <x v="18"/>
    <x v="1"/>
    <x v="1"/>
    <n v="27"/>
    <n v="2.2599999999999998"/>
    <n v="61.02"/>
    <x v="11"/>
  </r>
  <r>
    <n v="462"/>
    <d v="2026-06-09T00:00:00"/>
    <x v="9"/>
    <x v="5"/>
    <x v="1"/>
    <n v="80"/>
    <n v="2.4700000000000002"/>
    <n v="197.6"/>
    <x v="11"/>
  </r>
  <r>
    <n v="329"/>
    <d v="2026-06-10T00:00:00"/>
    <x v="16"/>
    <x v="0"/>
    <x v="1"/>
    <n v="50"/>
    <n v="3.88"/>
    <n v="194"/>
    <x v="11"/>
  </r>
  <r>
    <n v="8"/>
    <d v="2026-06-11T00:00:00"/>
    <x v="8"/>
    <x v="2"/>
    <x v="1"/>
    <n v="66"/>
    <n v="2.0099999999999998"/>
    <n v="132.66"/>
    <x v="11"/>
  </r>
  <r>
    <n v="37"/>
    <d v="2026-06-11T00:00:00"/>
    <x v="2"/>
    <x v="2"/>
    <x v="1"/>
    <n v="26"/>
    <n v="2.12"/>
    <n v="55.12"/>
    <x v="11"/>
  </r>
  <r>
    <n v="175"/>
    <d v="2026-06-12T00:00:00"/>
    <x v="2"/>
    <x v="2"/>
    <x v="1"/>
    <n v="63"/>
    <n v="2.14"/>
    <n v="134.82"/>
    <x v="11"/>
  </r>
  <r>
    <n v="115"/>
    <d v="2026-06-13T00:00:00"/>
    <x v="10"/>
    <x v="3"/>
    <x v="1"/>
    <n v="5"/>
    <n v="2.65"/>
    <n v="13.25"/>
    <x v="11"/>
  </r>
  <r>
    <n v="219"/>
    <d v="2026-06-14T00:00:00"/>
    <x v="6"/>
    <x v="2"/>
    <x v="0"/>
    <n v="49"/>
    <n v="5.88"/>
    <n v="288.12"/>
    <x v="11"/>
  </r>
  <r>
    <n v="228"/>
    <d v="2026-06-14T00:00:00"/>
    <x v="5"/>
    <x v="4"/>
    <x v="0"/>
    <n v="45"/>
    <n v="4.9000000000000004"/>
    <n v="220.5"/>
    <x v="11"/>
  </r>
  <r>
    <n v="239"/>
    <d v="2026-06-14T00:00:00"/>
    <x v="7"/>
    <x v="0"/>
    <x v="0"/>
    <n v="68"/>
    <n v="15.35"/>
    <n v="1043.8"/>
    <x v="11"/>
  </r>
  <r>
    <n v="549"/>
    <d v="2026-06-14T00:00:00"/>
    <x v="1"/>
    <x v="1"/>
    <x v="1"/>
    <n v="49"/>
    <n v="1.91"/>
    <n v="93.59"/>
    <x v="11"/>
  </r>
  <r>
    <n v="598"/>
    <d v="2026-06-14T00:00:00"/>
    <x v="2"/>
    <x v="2"/>
    <x v="1"/>
    <n v="29"/>
    <n v="2.21"/>
    <n v="64.09"/>
    <x v="11"/>
  </r>
  <r>
    <n v="140"/>
    <d v="2026-06-15T00:00:00"/>
    <x v="14"/>
    <x v="3"/>
    <x v="0"/>
    <n v="22"/>
    <n v="3.38"/>
    <n v="74.36"/>
    <x v="11"/>
  </r>
  <r>
    <n v="322"/>
    <d v="2026-06-15T00:00:00"/>
    <x v="14"/>
    <x v="3"/>
    <x v="0"/>
    <n v="43"/>
    <n v="3.4"/>
    <n v="146.19999999999999"/>
    <x v="11"/>
  </r>
  <r>
    <n v="524"/>
    <d v="2026-06-17T00:00:00"/>
    <x v="2"/>
    <x v="2"/>
    <x v="1"/>
    <n v="54"/>
    <n v="2.2000000000000002"/>
    <n v="118.8"/>
    <x v="11"/>
  </r>
  <r>
    <n v="501"/>
    <d v="2026-06-19T00:00:00"/>
    <x v="11"/>
    <x v="4"/>
    <x v="1"/>
    <n v="81"/>
    <n v="1.44"/>
    <n v="116.64"/>
    <x v="11"/>
  </r>
  <r>
    <n v="521"/>
    <d v="2026-06-19T00:00:00"/>
    <x v="18"/>
    <x v="1"/>
    <x v="1"/>
    <n v="45"/>
    <n v="2.2999999999999998"/>
    <n v="103.5"/>
    <x v="11"/>
  </r>
  <r>
    <n v="55"/>
    <d v="2026-06-20T00:00:00"/>
    <x v="3"/>
    <x v="0"/>
    <x v="1"/>
    <n v="55"/>
    <n v="6.09"/>
    <n v="334.95"/>
    <x v="11"/>
  </r>
  <r>
    <n v="481"/>
    <d v="2026-06-20T00:00:00"/>
    <x v="11"/>
    <x v="4"/>
    <x v="1"/>
    <n v="31"/>
    <n v="1.54"/>
    <n v="47.74"/>
    <x v="11"/>
  </r>
  <r>
    <n v="276"/>
    <d v="2026-06-21T00:00:00"/>
    <x v="4"/>
    <x v="3"/>
    <x v="1"/>
    <n v="62"/>
    <n v="3.16"/>
    <n v="195.92"/>
    <x v="11"/>
  </r>
  <r>
    <n v="537"/>
    <d v="2026-06-23T00:00:00"/>
    <x v="12"/>
    <x v="1"/>
    <x v="0"/>
    <n v="46"/>
    <n v="4.83"/>
    <n v="222.18"/>
    <x v="11"/>
  </r>
  <r>
    <n v="3"/>
    <d v="2026-06-25T00:00:00"/>
    <x v="10"/>
    <x v="3"/>
    <x v="1"/>
    <n v="44"/>
    <n v="2.4300000000000002"/>
    <n v="106.92"/>
    <x v="11"/>
  </r>
  <r>
    <n v="247"/>
    <d v="2026-06-25T00:00:00"/>
    <x v="6"/>
    <x v="2"/>
    <x v="0"/>
    <n v="71"/>
    <n v="5.78"/>
    <n v="410.38"/>
    <x v="11"/>
  </r>
  <r>
    <n v="291"/>
    <d v="2026-06-26T00:00:00"/>
    <x v="11"/>
    <x v="4"/>
    <x v="1"/>
    <n v="65"/>
    <n v="1.47"/>
    <n v="95.55"/>
    <x v="11"/>
  </r>
  <r>
    <n v="478"/>
    <d v="2026-06-26T00:00:00"/>
    <x v="1"/>
    <x v="1"/>
    <x v="1"/>
    <n v="38"/>
    <n v="1.81"/>
    <n v="68.78"/>
    <x v="11"/>
  </r>
  <r>
    <n v="199"/>
    <d v="2026-06-27T00:00:00"/>
    <x v="17"/>
    <x v="2"/>
    <x v="0"/>
    <n v="57"/>
    <n v="5.58"/>
    <n v="318.06"/>
    <x v="11"/>
  </r>
  <r>
    <n v="480"/>
    <d v="2026-06-27T00:00:00"/>
    <x v="11"/>
    <x v="4"/>
    <x v="1"/>
    <n v="54"/>
    <n v="1.52"/>
    <n v="82.08"/>
    <x v="11"/>
  </r>
  <r>
    <n v="577"/>
    <d v="2026-06-27T00:00:00"/>
    <x v="12"/>
    <x v="1"/>
    <x v="0"/>
    <n v="61"/>
    <n v="4.37"/>
    <n v="266.57"/>
    <x v="11"/>
  </r>
  <r>
    <n v="441"/>
    <d v="2026-06-28T00:00:00"/>
    <x v="11"/>
    <x v="4"/>
    <x v="1"/>
    <n v="47"/>
    <n v="1.5"/>
    <n v="70.5"/>
    <x v="11"/>
  </r>
  <r>
    <n v="193"/>
    <d v="2026-06-29T00:00:00"/>
    <x v="3"/>
    <x v="0"/>
    <x v="1"/>
    <n v="72"/>
    <n v="6.32"/>
    <n v="455.04"/>
    <x v="11"/>
  </r>
  <r>
    <n v="218"/>
    <d v="2026-06-29T00:00:00"/>
    <x v="12"/>
    <x v="1"/>
    <x v="0"/>
    <n v="68"/>
    <n v="4.59"/>
    <n v="312.12"/>
    <x v="11"/>
  </r>
  <r>
    <n v="317"/>
    <d v="2026-06-29T00:00:00"/>
    <x v="10"/>
    <x v="3"/>
    <x v="1"/>
    <n v="68"/>
    <n v="2.4500000000000002"/>
    <n v="166.6"/>
    <x v="11"/>
  </r>
  <r>
    <n v="418"/>
    <d v="2026-06-29T00:00:00"/>
    <x v="1"/>
    <x v="1"/>
    <x v="1"/>
    <n v="77"/>
    <n v="1.77"/>
    <n v="136.29"/>
    <x v="11"/>
  </r>
  <r>
    <n v="595"/>
    <d v="2026-06-29T00:00:00"/>
    <x v="10"/>
    <x v="3"/>
    <x v="1"/>
    <n v="117"/>
    <n v="2.5299999999999998"/>
    <n v="296.01"/>
    <x v="11"/>
  </r>
  <r>
    <n v="514"/>
    <d v="2026-06-30T00:00:00"/>
    <x v="18"/>
    <x v="1"/>
    <x v="1"/>
    <n v="62"/>
    <n v="2.33"/>
    <n v="144.46"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m/>
  </r>
  <r>
    <x v="1"/>
    <n v="-0.22080808128840304"/>
  </r>
  <r>
    <x v="2"/>
    <n v="-4.7928736492644307E-2"/>
  </r>
  <r>
    <x v="3"/>
    <n v="0.44708700213451097"/>
  </r>
  <r>
    <x v="4"/>
    <n v="-8.5350746378844503E-2"/>
  </r>
  <r>
    <x v="5"/>
    <n v="0.1074863854183736"/>
  </r>
  <r>
    <x v="6"/>
    <n v="-9.0718076054389959E-2"/>
  </r>
  <r>
    <x v="7"/>
    <n v="-0.27493241147365866"/>
  </r>
  <r>
    <x v="8"/>
    <n v="-7.9530317451368487E-2"/>
  </r>
  <r>
    <x v="9"/>
    <n v="0.19913963204978727"/>
  </r>
  <r>
    <x v="10"/>
    <n v="0.3513987204602177"/>
  </r>
  <r>
    <x v="11"/>
    <n v="-0.295396301923148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C6714A-CE4C-43E8-B87E-E21C5F26F35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O3:Q10" firstHeaderRow="0" firstDataRow="1" firstDataCol="1"/>
  <pivotFields count="9">
    <pivotField showAll="0"/>
    <pivotField numFmtId="165" showAll="0"/>
    <pivotField showAll="0"/>
    <pivotField axis="axisRow" showAll="0">
      <items count="7">
        <item x="3"/>
        <item x="0"/>
        <item x="1"/>
        <item x="4"/>
        <item x="5"/>
        <item x="2"/>
        <item t="default"/>
      </items>
    </pivotField>
    <pivotField showAll="0"/>
    <pivotField dataField="1" showAll="0"/>
    <pivotField numFmtId="164" showAll="0"/>
    <pivotField dataField="1" numFmtId="164"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" fld="7" baseField="0" baseItem="0" numFmtId="164"/>
    <dataField name="Sum of Quantity_Sold" fld="5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1C0AB6-1167-4EAD-B00E-02194D0C9D3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Type">
  <location ref="M3:N6" firstHeaderRow="1" firstDataRow="1" firstDataCol="1"/>
  <pivotFields count="9">
    <pivotField showAll="0"/>
    <pivotField numFmtId="165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64" showAll="0"/>
    <pivotField dataField="1" numFmtId="164"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Revenue " fld="7" baseField="0" baseItem="0" numFmtId="164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314FB-2D01-441B-AE01-3A8A7E29BA2F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Month">
  <location ref="K3:L16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Growth %" fld="1" baseField="0" baseItem="0"/>
  </dataFields>
  <chartFormats count="1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43B1C-68E1-4178-8041-F5DF7146636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Month">
  <location ref="G3:I16" firstHeaderRow="0" firstDataRow="1" firstDataCol="1"/>
  <pivotFields count="9">
    <pivotField showAll="0"/>
    <pivotField numFmtId="165" showAll="0"/>
    <pivotField showAll="0">
      <items count="21">
        <item x="13"/>
        <item x="16"/>
        <item x="9"/>
        <item x="7"/>
        <item x="0"/>
        <item x="3"/>
        <item x="15"/>
        <item x="11"/>
        <item x="14"/>
        <item x="18"/>
        <item x="12"/>
        <item x="4"/>
        <item x="19"/>
        <item x="1"/>
        <item x="8"/>
        <item x="17"/>
        <item x="6"/>
        <item x="2"/>
        <item x="10"/>
        <item x="5"/>
        <item t="default"/>
      </items>
    </pivotField>
    <pivotField showAll="0">
      <items count="7">
        <item x="3"/>
        <item x="0"/>
        <item x="1"/>
        <item x="4"/>
        <item x="5"/>
        <item x="2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numFmtId="164" showAll="0"/>
    <pivotField dataField="1" numFmtId="16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" fld="7" baseField="0" baseItem="0" numFmtId="164"/>
    <dataField name="Sum of Quantity_Sold" fld="5" baseField="0" baseItem="0"/>
  </dataField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BB342-F6CC-4CDD-8EF6-28B31484346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Medicines">
  <location ref="D3:E9" firstHeaderRow="1" firstDataRow="1" firstDataCol="1"/>
  <pivotFields count="9">
    <pivotField showAll="0"/>
    <pivotField numFmtId="165" showAll="0"/>
    <pivotField axis="axisRow" showAll="0" measureFilter="1" sortType="descending">
      <items count="21">
        <item x="13"/>
        <item x="16"/>
        <item x="9"/>
        <item x="7"/>
        <item x="0"/>
        <item x="3"/>
        <item x="15"/>
        <item x="11"/>
        <item x="14"/>
        <item x="18"/>
        <item x="12"/>
        <item x="4"/>
        <item x="19"/>
        <item x="1"/>
        <item x="8"/>
        <item x="17"/>
        <item x="6"/>
        <item x="2"/>
        <item x="1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dataField="1" numFmtId="164" showAll="0"/>
    <pivotField showAll="0"/>
  </pivotFields>
  <rowFields count="1">
    <field x="2"/>
  </rowFields>
  <rowItems count="6">
    <i>
      <x v="4"/>
    </i>
    <i>
      <x v="3"/>
    </i>
    <i>
      <x v="5"/>
    </i>
    <i>
      <x v="12"/>
    </i>
    <i>
      <x v="19"/>
    </i>
    <i t="grand">
      <x/>
    </i>
  </rowItems>
  <colItems count="1">
    <i/>
  </colItems>
  <dataFields count="1">
    <dataField name="Sum of Revenue " fld="7" baseField="0" baseItem="0" numFmtId="164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FD74F-F451-4EC5-B0AA-06CBC4D375D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Medicines">
  <location ref="A3:B9" firstHeaderRow="1" firstDataRow="1" firstDataCol="1"/>
  <pivotFields count="9">
    <pivotField showAll="0"/>
    <pivotField numFmtId="165" showAll="0"/>
    <pivotField axis="axisRow" showAll="0" measureFilter="1" sortType="descending">
      <items count="21">
        <item x="13"/>
        <item x="16"/>
        <item x="9"/>
        <item x="7"/>
        <item x="0"/>
        <item x="3"/>
        <item x="15"/>
        <item x="11"/>
        <item x="14"/>
        <item x="18"/>
        <item x="12"/>
        <item x="4"/>
        <item x="19"/>
        <item x="1"/>
        <item x="8"/>
        <item x="17"/>
        <item x="6"/>
        <item x="2"/>
        <item x="1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numFmtId="164" showAll="0"/>
    <pivotField numFmtId="164" showAll="0"/>
    <pivotField showAll="0"/>
  </pivotFields>
  <rowFields count="1">
    <field x="2"/>
  </rowFields>
  <rowItems count="6">
    <i>
      <x v="18"/>
    </i>
    <i>
      <x v="13"/>
    </i>
    <i>
      <x v="8"/>
    </i>
    <i>
      <x v="17"/>
    </i>
    <i>
      <x v="5"/>
    </i>
    <i t="grand">
      <x/>
    </i>
  </rowItems>
  <colItems count="1">
    <i/>
  </colItems>
  <dataFields count="1">
    <dataField name="Sum of Quantity_Sold" fld="5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6ED9F6-3182-4224-B872-9DECED1E946A}" name="Table1" displayName="Table1" ref="A1:J601" totalsRowShown="0" headerRowDxfId="8" headerRowBorderDxfId="7" tableBorderDxfId="6">
  <autoFilter ref="A1:J601" xr:uid="{00000000-0009-0000-0000-000000000000}"/>
  <tableColumns count="10">
    <tableColumn id="1" xr3:uid="{5002690A-457B-4393-9100-D18B97A5BE1F}" name="Transaction_ID"/>
    <tableColumn id="2" xr3:uid="{F6A89D40-E0F0-4C3C-ABC1-3300512EFAA6}" name="Date" dataDxfId="5"/>
    <tableColumn id="3" xr3:uid="{88110963-0D52-460A-9FE5-B1C8CF91325A}" name="Medicine"/>
    <tableColumn id="4" xr3:uid="{DEF9298F-AA96-4B75-A84D-4C4538C35768}" name="Category"/>
    <tableColumn id="5" xr3:uid="{B0AADCF0-12E6-46B4-9BE6-8C1008856865}" name="Type"/>
    <tableColumn id="6" xr3:uid="{8966533E-EB5C-4ED6-86F0-9382F1217F20}" name="Quantity_Sold"/>
    <tableColumn id="7" xr3:uid="{CE388A04-17EB-4EEF-83DE-F1B50D1B5AE4}" name="Unit_Price" dataDxfId="4"/>
    <tableColumn id="8" xr3:uid="{B84AC558-8C9F-4E6D-94BA-0CE0515D84C7}" name="Revenue " dataDxfId="3"/>
    <tableColumn id="9" xr3:uid="{1A7271C6-897F-4E8E-A2D2-F10C4CA013C9}" name="Month"/>
    <tableColumn id="10" xr3:uid="{AFD7E9D8-196C-4C93-8007-2D04917C916A}" name="Growth%" dataDxfId="2">
      <calculatedColumnFormula>(I3-I2)/I2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F58A88-264A-4455-A0A2-016A1E6D6E99}" name="Table3" displayName="Table3" ref="D3:G4" totalsRowShown="0" headerRowDxfId="14" headerRowBorderDxfId="13" tableBorderDxfId="12" totalsRowBorderDxfId="11">
  <autoFilter ref="D3:G4" xr:uid="{93F58A88-264A-4455-A0A2-016A1E6D6E99}"/>
  <tableColumns count="4">
    <tableColumn id="1" xr3:uid="{648D228B-86AE-4B8F-9DD9-8B517224A233}" name="TOTAL REVENUE" dataDxfId="1">
      <calculatedColumnFormula>SUM(Raw_Data!H:H)</calculatedColumnFormula>
    </tableColumn>
    <tableColumn id="2" xr3:uid="{5DA63684-FD66-4C81-A490-6E3A7322C7DC}" name="TOTAL UNITS SOLD" dataDxfId="0">
      <calculatedColumnFormula>SUM(Raw_Data!F:F)</calculatedColumnFormula>
    </tableColumn>
    <tableColumn id="3" xr3:uid="{BF9C7B39-B8E7-44C0-89FC-5AADAFD51EA7}" name="TOTAL TRANSACTIONS" dataDxfId="10">
      <calculatedColumnFormula>COUNTA(Raw_Data!A:A)-1</calculatedColumnFormula>
    </tableColumn>
    <tableColumn id="4" xr3:uid="{328F3D94-4D7C-4F90-97B3-95F9239EE280}" name="NUMBER OF MEDICINES" dataDxfId="9">
      <calculatedColumnFormula>COUNTA(_xlfn.UNIQUE(Raw_Data!C2:C601))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1"/>
  <sheetViews>
    <sheetView workbookViewId="0">
      <pane ySplit="1" topLeftCell="A2" activePane="bottomLeft" state="frozen"/>
      <selection pane="bottomLeft" activeCell="C11" sqref="C11"/>
    </sheetView>
  </sheetViews>
  <sheetFormatPr defaultRowHeight="14.5" x14ac:dyDescent="0.35"/>
  <cols>
    <col min="1" max="1" width="16" customWidth="1"/>
    <col min="2" max="2" width="21" customWidth="1"/>
    <col min="3" max="3" width="20" customWidth="1"/>
    <col min="4" max="4" width="18" customWidth="1"/>
    <col min="5" max="5" width="12" customWidth="1"/>
    <col min="6" max="6" width="15" customWidth="1"/>
    <col min="7" max="10" width="12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6" t="s">
        <v>51</v>
      </c>
      <c r="I1" s="5" t="s">
        <v>8</v>
      </c>
      <c r="J1" s="6" t="s">
        <v>55</v>
      </c>
    </row>
    <row r="2" spans="1:10" x14ac:dyDescent="0.35">
      <c r="A2">
        <v>102</v>
      </c>
      <c r="B2" s="2">
        <v>45839</v>
      </c>
      <c r="C2" t="s">
        <v>9</v>
      </c>
      <c r="D2" t="s">
        <v>10</v>
      </c>
      <c r="E2" t="s">
        <v>11</v>
      </c>
      <c r="F2">
        <v>34</v>
      </c>
      <c r="G2" s="3">
        <v>11.47</v>
      </c>
      <c r="H2" s="3">
        <v>389.98</v>
      </c>
      <c r="I2" t="s">
        <v>12</v>
      </c>
      <c r="J2" t="e">
        <f t="shared" ref="J2:J65" si="0">(I3-I2)/I2</f>
        <v>#VALUE!</v>
      </c>
    </row>
    <row r="3" spans="1:10" x14ac:dyDescent="0.35">
      <c r="A3">
        <v>146</v>
      </c>
      <c r="B3" s="2">
        <v>45839</v>
      </c>
      <c r="C3" t="s">
        <v>13</v>
      </c>
      <c r="D3" t="s">
        <v>14</v>
      </c>
      <c r="E3" t="s">
        <v>15</v>
      </c>
      <c r="F3">
        <v>40</v>
      </c>
      <c r="G3" s="3">
        <v>1.85</v>
      </c>
      <c r="H3" s="3">
        <v>74</v>
      </c>
      <c r="I3" t="s">
        <v>12</v>
      </c>
      <c r="J3" t="e">
        <f t="shared" si="0"/>
        <v>#VALUE!</v>
      </c>
    </row>
    <row r="4" spans="1:10" x14ac:dyDescent="0.35">
      <c r="A4">
        <v>172</v>
      </c>
      <c r="B4" s="2">
        <v>45839</v>
      </c>
      <c r="C4" t="s">
        <v>16</v>
      </c>
      <c r="D4" t="s">
        <v>17</v>
      </c>
      <c r="E4" t="s">
        <v>15</v>
      </c>
      <c r="F4">
        <v>47</v>
      </c>
      <c r="G4" s="3">
        <v>2.2000000000000002</v>
      </c>
      <c r="H4" s="3">
        <v>103.4</v>
      </c>
      <c r="I4" t="s">
        <v>12</v>
      </c>
      <c r="J4" t="e">
        <f t="shared" si="0"/>
        <v>#VALUE!</v>
      </c>
    </row>
    <row r="5" spans="1:10" x14ac:dyDescent="0.35">
      <c r="A5">
        <v>286</v>
      </c>
      <c r="B5" s="2">
        <v>45840</v>
      </c>
      <c r="C5" t="s">
        <v>18</v>
      </c>
      <c r="D5" t="s">
        <v>10</v>
      </c>
      <c r="E5" t="s">
        <v>15</v>
      </c>
      <c r="F5">
        <v>77</v>
      </c>
      <c r="G5" s="3">
        <v>6.08</v>
      </c>
      <c r="H5" s="3">
        <v>468.16</v>
      </c>
      <c r="I5" t="s">
        <v>12</v>
      </c>
      <c r="J5" t="e">
        <f t="shared" si="0"/>
        <v>#VALUE!</v>
      </c>
    </row>
    <row r="6" spans="1:10" x14ac:dyDescent="0.35">
      <c r="A6">
        <v>274</v>
      </c>
      <c r="B6" s="2">
        <v>45841</v>
      </c>
      <c r="C6" t="s">
        <v>19</v>
      </c>
      <c r="D6" t="s">
        <v>20</v>
      </c>
      <c r="E6" t="s">
        <v>15</v>
      </c>
      <c r="F6">
        <v>76</v>
      </c>
      <c r="G6" s="3">
        <v>3.02</v>
      </c>
      <c r="H6" s="3">
        <v>229.52</v>
      </c>
      <c r="I6" t="s">
        <v>12</v>
      </c>
      <c r="J6" t="e">
        <f t="shared" si="0"/>
        <v>#VALUE!</v>
      </c>
    </row>
    <row r="7" spans="1:10" x14ac:dyDescent="0.35">
      <c r="A7">
        <v>314</v>
      </c>
      <c r="B7" s="2">
        <v>45841</v>
      </c>
      <c r="C7" t="s">
        <v>21</v>
      </c>
      <c r="D7" t="s">
        <v>22</v>
      </c>
      <c r="E7" t="s">
        <v>11</v>
      </c>
      <c r="F7">
        <v>72</v>
      </c>
      <c r="G7" s="3">
        <v>5.0599999999999996</v>
      </c>
      <c r="H7" s="3">
        <v>364.32</v>
      </c>
      <c r="I7" t="s">
        <v>12</v>
      </c>
      <c r="J7" t="e">
        <f t="shared" si="0"/>
        <v>#VALUE!</v>
      </c>
    </row>
    <row r="8" spans="1:10" x14ac:dyDescent="0.35">
      <c r="A8">
        <v>562</v>
      </c>
      <c r="B8" s="2">
        <v>45841</v>
      </c>
      <c r="C8" t="s">
        <v>23</v>
      </c>
      <c r="D8" t="s">
        <v>17</v>
      </c>
      <c r="E8" t="s">
        <v>11</v>
      </c>
      <c r="F8">
        <v>42</v>
      </c>
      <c r="G8" s="3">
        <v>6.01</v>
      </c>
      <c r="H8" s="3">
        <v>252.42</v>
      </c>
      <c r="I8" t="s">
        <v>12</v>
      </c>
      <c r="J8" t="e">
        <f t="shared" si="0"/>
        <v>#VALUE!</v>
      </c>
    </row>
    <row r="9" spans="1:10" x14ac:dyDescent="0.35">
      <c r="A9">
        <v>143</v>
      </c>
      <c r="B9" s="2">
        <v>45842</v>
      </c>
      <c r="C9" t="s">
        <v>24</v>
      </c>
      <c r="D9" t="s">
        <v>10</v>
      </c>
      <c r="E9" t="s">
        <v>11</v>
      </c>
      <c r="F9">
        <v>31</v>
      </c>
      <c r="G9" s="3">
        <v>15.55</v>
      </c>
      <c r="H9" s="3">
        <v>482.05</v>
      </c>
      <c r="I9" t="s">
        <v>12</v>
      </c>
      <c r="J9" t="e">
        <f t="shared" si="0"/>
        <v>#VALUE!</v>
      </c>
    </row>
    <row r="10" spans="1:10" x14ac:dyDescent="0.35">
      <c r="A10">
        <v>196</v>
      </c>
      <c r="B10" s="2">
        <v>45842</v>
      </c>
      <c r="C10" t="s">
        <v>25</v>
      </c>
      <c r="D10" t="s">
        <v>17</v>
      </c>
      <c r="E10" t="s">
        <v>15</v>
      </c>
      <c r="F10">
        <v>47</v>
      </c>
      <c r="G10" s="3">
        <v>2.08</v>
      </c>
      <c r="H10" s="3">
        <v>97.76</v>
      </c>
      <c r="I10" t="s">
        <v>12</v>
      </c>
      <c r="J10" t="e">
        <f t="shared" si="0"/>
        <v>#VALUE!</v>
      </c>
    </row>
    <row r="11" spans="1:10" x14ac:dyDescent="0.35">
      <c r="A11">
        <v>575</v>
      </c>
      <c r="B11" s="2">
        <v>45842</v>
      </c>
      <c r="C11" t="s">
        <v>26</v>
      </c>
      <c r="D11" t="s">
        <v>27</v>
      </c>
      <c r="E11" t="s">
        <v>15</v>
      </c>
      <c r="F11">
        <v>64</v>
      </c>
      <c r="G11" s="3">
        <v>2.4</v>
      </c>
      <c r="H11" s="3">
        <v>153.6</v>
      </c>
      <c r="I11" t="s">
        <v>12</v>
      </c>
      <c r="J11" t="e">
        <f t="shared" si="0"/>
        <v>#VALUE!</v>
      </c>
    </row>
    <row r="12" spans="1:10" x14ac:dyDescent="0.35">
      <c r="A12">
        <v>522</v>
      </c>
      <c r="B12" s="2">
        <v>45843</v>
      </c>
      <c r="C12" t="s">
        <v>25</v>
      </c>
      <c r="D12" t="s">
        <v>17</v>
      </c>
      <c r="E12" t="s">
        <v>15</v>
      </c>
      <c r="F12">
        <v>54</v>
      </c>
      <c r="G12" s="3">
        <v>2.02</v>
      </c>
      <c r="H12" s="3">
        <v>109.08</v>
      </c>
      <c r="I12" t="s">
        <v>12</v>
      </c>
      <c r="J12" t="e">
        <f t="shared" si="0"/>
        <v>#VALUE!</v>
      </c>
    </row>
    <row r="13" spans="1:10" x14ac:dyDescent="0.35">
      <c r="A13">
        <v>252</v>
      </c>
      <c r="B13" s="2">
        <v>45845</v>
      </c>
      <c r="C13" t="s">
        <v>24</v>
      </c>
      <c r="D13" t="s">
        <v>10</v>
      </c>
      <c r="E13" t="s">
        <v>11</v>
      </c>
      <c r="F13">
        <v>51</v>
      </c>
      <c r="G13" s="3">
        <v>14.98</v>
      </c>
      <c r="H13" s="3">
        <v>763.98</v>
      </c>
      <c r="I13" t="s">
        <v>12</v>
      </c>
      <c r="J13" t="e">
        <f t="shared" si="0"/>
        <v>#VALUE!</v>
      </c>
    </row>
    <row r="14" spans="1:10" x14ac:dyDescent="0.35">
      <c r="A14">
        <v>504</v>
      </c>
      <c r="B14" s="2">
        <v>45845</v>
      </c>
      <c r="C14" t="s">
        <v>28</v>
      </c>
      <c r="D14" t="s">
        <v>20</v>
      </c>
      <c r="E14" t="s">
        <v>15</v>
      </c>
      <c r="F14">
        <v>110</v>
      </c>
      <c r="G14" s="3">
        <v>2.62</v>
      </c>
      <c r="H14" s="3">
        <v>288.2</v>
      </c>
      <c r="I14" t="s">
        <v>12</v>
      </c>
      <c r="J14" t="e">
        <f t="shared" si="0"/>
        <v>#VALUE!</v>
      </c>
    </row>
    <row r="15" spans="1:10" x14ac:dyDescent="0.35">
      <c r="A15">
        <v>104</v>
      </c>
      <c r="B15" s="2">
        <v>45846</v>
      </c>
      <c r="C15" t="s">
        <v>29</v>
      </c>
      <c r="D15" t="s">
        <v>22</v>
      </c>
      <c r="E15" t="s">
        <v>15</v>
      </c>
      <c r="F15">
        <v>72</v>
      </c>
      <c r="G15" s="3">
        <v>1.49</v>
      </c>
      <c r="H15" s="3">
        <v>107.28</v>
      </c>
      <c r="I15" t="s">
        <v>12</v>
      </c>
      <c r="J15" t="e">
        <f t="shared" si="0"/>
        <v>#VALUE!</v>
      </c>
    </row>
    <row r="16" spans="1:10" x14ac:dyDescent="0.35">
      <c r="A16">
        <v>301</v>
      </c>
      <c r="B16" s="2">
        <v>45846</v>
      </c>
      <c r="C16" t="s">
        <v>19</v>
      </c>
      <c r="D16" t="s">
        <v>20</v>
      </c>
      <c r="E16" t="s">
        <v>15</v>
      </c>
      <c r="F16">
        <v>42</v>
      </c>
      <c r="G16" s="3">
        <v>2.94</v>
      </c>
      <c r="H16" s="3">
        <v>123.48</v>
      </c>
      <c r="I16" t="s">
        <v>12</v>
      </c>
      <c r="J16" t="e">
        <f t="shared" si="0"/>
        <v>#VALUE!</v>
      </c>
    </row>
    <row r="17" spans="1:10" x14ac:dyDescent="0.35">
      <c r="A17">
        <v>590</v>
      </c>
      <c r="B17" s="2">
        <v>45846</v>
      </c>
      <c r="C17" t="s">
        <v>18</v>
      </c>
      <c r="D17" t="s">
        <v>10</v>
      </c>
      <c r="E17" t="s">
        <v>15</v>
      </c>
      <c r="F17">
        <v>52</v>
      </c>
      <c r="G17" s="3">
        <v>6.3</v>
      </c>
      <c r="H17" s="3">
        <v>327.60000000000002</v>
      </c>
      <c r="I17" t="s">
        <v>12</v>
      </c>
      <c r="J17" t="e">
        <f t="shared" si="0"/>
        <v>#VALUE!</v>
      </c>
    </row>
    <row r="18" spans="1:10" x14ac:dyDescent="0.35">
      <c r="A18">
        <v>39</v>
      </c>
      <c r="B18" s="2">
        <v>45847</v>
      </c>
      <c r="C18" t="s">
        <v>30</v>
      </c>
      <c r="D18" t="s">
        <v>14</v>
      </c>
      <c r="E18" t="s">
        <v>11</v>
      </c>
      <c r="F18">
        <v>54</v>
      </c>
      <c r="G18" s="3">
        <v>4.79</v>
      </c>
      <c r="H18" s="3">
        <v>258.66000000000003</v>
      </c>
      <c r="I18" t="s">
        <v>12</v>
      </c>
      <c r="J18" t="e">
        <f t="shared" si="0"/>
        <v>#VALUE!</v>
      </c>
    </row>
    <row r="19" spans="1:10" x14ac:dyDescent="0.35">
      <c r="A19">
        <v>90</v>
      </c>
      <c r="B19" s="2">
        <v>45847</v>
      </c>
      <c r="C19" t="s">
        <v>18</v>
      </c>
      <c r="D19" t="s">
        <v>10</v>
      </c>
      <c r="E19" t="s">
        <v>15</v>
      </c>
      <c r="F19">
        <v>62</v>
      </c>
      <c r="G19" s="3">
        <v>6.38</v>
      </c>
      <c r="H19" s="3">
        <v>395.56</v>
      </c>
      <c r="I19" t="s">
        <v>12</v>
      </c>
      <c r="J19" t="e">
        <f t="shared" si="0"/>
        <v>#VALUE!</v>
      </c>
    </row>
    <row r="20" spans="1:10" x14ac:dyDescent="0.35">
      <c r="A20">
        <v>271</v>
      </c>
      <c r="B20" s="2">
        <v>45847</v>
      </c>
      <c r="C20" t="s">
        <v>16</v>
      </c>
      <c r="D20" t="s">
        <v>17</v>
      </c>
      <c r="E20" t="s">
        <v>15</v>
      </c>
      <c r="F20">
        <v>27</v>
      </c>
      <c r="G20" s="3">
        <v>2.36</v>
      </c>
      <c r="H20" s="3">
        <v>63.72</v>
      </c>
      <c r="I20" t="s">
        <v>12</v>
      </c>
      <c r="J20" t="e">
        <f t="shared" si="0"/>
        <v>#VALUE!</v>
      </c>
    </row>
    <row r="21" spans="1:10" x14ac:dyDescent="0.35">
      <c r="A21">
        <v>396</v>
      </c>
      <c r="B21" s="2">
        <v>45848</v>
      </c>
      <c r="C21" t="s">
        <v>16</v>
      </c>
      <c r="D21" t="s">
        <v>17</v>
      </c>
      <c r="E21" t="s">
        <v>15</v>
      </c>
      <c r="F21">
        <v>39</v>
      </c>
      <c r="G21" s="3">
        <v>2.14</v>
      </c>
      <c r="H21" s="3">
        <v>83.46</v>
      </c>
      <c r="I21" t="s">
        <v>12</v>
      </c>
      <c r="J21" t="e">
        <f t="shared" si="0"/>
        <v>#VALUE!</v>
      </c>
    </row>
    <row r="22" spans="1:10" x14ac:dyDescent="0.35">
      <c r="A22">
        <v>190</v>
      </c>
      <c r="B22" s="2">
        <v>45849</v>
      </c>
      <c r="C22" t="s">
        <v>24</v>
      </c>
      <c r="D22" t="s">
        <v>10</v>
      </c>
      <c r="E22" t="s">
        <v>11</v>
      </c>
      <c r="F22">
        <v>41</v>
      </c>
      <c r="G22" s="3">
        <v>14.96</v>
      </c>
      <c r="H22" s="3">
        <v>613.36</v>
      </c>
      <c r="I22" t="s">
        <v>12</v>
      </c>
      <c r="J22" t="e">
        <f t="shared" si="0"/>
        <v>#VALUE!</v>
      </c>
    </row>
    <row r="23" spans="1:10" x14ac:dyDescent="0.35">
      <c r="A23">
        <v>332</v>
      </c>
      <c r="B23" s="2">
        <v>45849</v>
      </c>
      <c r="C23" t="s">
        <v>13</v>
      </c>
      <c r="D23" t="s">
        <v>14</v>
      </c>
      <c r="E23" t="s">
        <v>15</v>
      </c>
      <c r="F23">
        <v>41</v>
      </c>
      <c r="G23" s="3">
        <v>1.86</v>
      </c>
      <c r="H23" s="3">
        <v>76.260000000000005</v>
      </c>
      <c r="I23" t="s">
        <v>12</v>
      </c>
      <c r="J23" t="e">
        <f t="shared" si="0"/>
        <v>#VALUE!</v>
      </c>
    </row>
    <row r="24" spans="1:10" x14ac:dyDescent="0.35">
      <c r="A24">
        <v>385</v>
      </c>
      <c r="B24" s="2">
        <v>45849</v>
      </c>
      <c r="C24" t="s">
        <v>30</v>
      </c>
      <c r="D24" t="s">
        <v>14</v>
      </c>
      <c r="E24" t="s">
        <v>11</v>
      </c>
      <c r="F24">
        <v>26</v>
      </c>
      <c r="G24" s="3">
        <v>4.53</v>
      </c>
      <c r="H24" s="3">
        <v>117.78</v>
      </c>
      <c r="I24" t="s">
        <v>12</v>
      </c>
      <c r="J24" t="e">
        <f t="shared" si="0"/>
        <v>#VALUE!</v>
      </c>
    </row>
    <row r="25" spans="1:10" x14ac:dyDescent="0.35">
      <c r="A25">
        <v>103</v>
      </c>
      <c r="B25" s="2">
        <v>45850</v>
      </c>
      <c r="C25" t="s">
        <v>26</v>
      </c>
      <c r="D25" t="s">
        <v>27</v>
      </c>
      <c r="E25" t="s">
        <v>15</v>
      </c>
      <c r="F25">
        <v>53</v>
      </c>
      <c r="G25" s="3">
        <v>2.58</v>
      </c>
      <c r="H25" s="3">
        <v>136.74</v>
      </c>
      <c r="I25" t="s">
        <v>12</v>
      </c>
      <c r="J25" t="e">
        <f t="shared" si="0"/>
        <v>#VALUE!</v>
      </c>
    </row>
    <row r="26" spans="1:10" x14ac:dyDescent="0.35">
      <c r="A26">
        <v>211</v>
      </c>
      <c r="B26" s="2">
        <v>45850</v>
      </c>
      <c r="C26" t="s">
        <v>18</v>
      </c>
      <c r="D26" t="s">
        <v>10</v>
      </c>
      <c r="E26" t="s">
        <v>15</v>
      </c>
      <c r="F26">
        <v>69</v>
      </c>
      <c r="G26" s="3">
        <v>6.21</v>
      </c>
      <c r="H26" s="3">
        <v>428.49</v>
      </c>
      <c r="I26" t="s">
        <v>12</v>
      </c>
      <c r="J26" t="e">
        <f t="shared" si="0"/>
        <v>#VALUE!</v>
      </c>
    </row>
    <row r="27" spans="1:10" x14ac:dyDescent="0.35">
      <c r="A27">
        <v>275</v>
      </c>
      <c r="B27" s="2">
        <v>45850</v>
      </c>
      <c r="C27" t="s">
        <v>19</v>
      </c>
      <c r="D27" t="s">
        <v>20</v>
      </c>
      <c r="E27" t="s">
        <v>15</v>
      </c>
      <c r="F27">
        <v>49</v>
      </c>
      <c r="G27" s="3">
        <v>3.23</v>
      </c>
      <c r="H27" s="3">
        <v>158.27000000000001</v>
      </c>
      <c r="I27" t="s">
        <v>12</v>
      </c>
      <c r="J27" t="e">
        <f t="shared" si="0"/>
        <v>#VALUE!</v>
      </c>
    </row>
    <row r="28" spans="1:10" x14ac:dyDescent="0.35">
      <c r="A28">
        <v>297</v>
      </c>
      <c r="B28" s="2">
        <v>45850</v>
      </c>
      <c r="C28" t="s">
        <v>31</v>
      </c>
      <c r="D28" t="s">
        <v>14</v>
      </c>
      <c r="E28" t="s">
        <v>11</v>
      </c>
      <c r="F28">
        <v>80</v>
      </c>
      <c r="G28" s="3">
        <v>6.19</v>
      </c>
      <c r="H28" s="3">
        <v>495.2</v>
      </c>
      <c r="I28" t="s">
        <v>12</v>
      </c>
      <c r="J28" t="e">
        <f t="shared" si="0"/>
        <v>#VALUE!</v>
      </c>
    </row>
    <row r="29" spans="1:10" x14ac:dyDescent="0.35">
      <c r="A29">
        <v>398</v>
      </c>
      <c r="B29" s="2">
        <v>45850</v>
      </c>
      <c r="C29" t="s">
        <v>28</v>
      </c>
      <c r="D29" t="s">
        <v>20</v>
      </c>
      <c r="E29" t="s">
        <v>15</v>
      </c>
      <c r="F29">
        <v>56</v>
      </c>
      <c r="G29" s="3">
        <v>2.62</v>
      </c>
      <c r="H29" s="3">
        <v>146.72</v>
      </c>
      <c r="I29" t="s">
        <v>12</v>
      </c>
      <c r="J29" t="e">
        <f t="shared" si="0"/>
        <v>#VALUE!</v>
      </c>
    </row>
    <row r="30" spans="1:10" x14ac:dyDescent="0.35">
      <c r="A30">
        <v>523</v>
      </c>
      <c r="B30" s="2">
        <v>45850</v>
      </c>
      <c r="C30" t="s">
        <v>32</v>
      </c>
      <c r="D30" t="s">
        <v>20</v>
      </c>
      <c r="E30" t="s">
        <v>11</v>
      </c>
      <c r="F30">
        <v>51</v>
      </c>
      <c r="G30" s="3">
        <v>3.24</v>
      </c>
      <c r="H30" s="3">
        <v>165.24</v>
      </c>
      <c r="I30" t="s">
        <v>12</v>
      </c>
      <c r="J30" t="e">
        <f t="shared" si="0"/>
        <v>#VALUE!</v>
      </c>
    </row>
    <row r="31" spans="1:10" x14ac:dyDescent="0.35">
      <c r="A31">
        <v>547</v>
      </c>
      <c r="B31" s="2">
        <v>45850</v>
      </c>
      <c r="C31" t="s">
        <v>9</v>
      </c>
      <c r="D31" t="s">
        <v>10</v>
      </c>
      <c r="E31" t="s">
        <v>11</v>
      </c>
      <c r="F31">
        <v>55</v>
      </c>
      <c r="G31" s="3">
        <v>11.82</v>
      </c>
      <c r="H31" s="3">
        <v>650.1</v>
      </c>
      <c r="I31" t="s">
        <v>12</v>
      </c>
      <c r="J31" t="e">
        <f t="shared" si="0"/>
        <v>#VALUE!</v>
      </c>
    </row>
    <row r="32" spans="1:10" x14ac:dyDescent="0.35">
      <c r="A32">
        <v>21</v>
      </c>
      <c r="B32" s="2">
        <v>45851</v>
      </c>
      <c r="C32" t="s">
        <v>13</v>
      </c>
      <c r="D32" t="s">
        <v>14</v>
      </c>
      <c r="E32" t="s">
        <v>15</v>
      </c>
      <c r="F32">
        <v>64</v>
      </c>
      <c r="G32" s="3">
        <v>1.91</v>
      </c>
      <c r="H32" s="3">
        <v>122.24</v>
      </c>
      <c r="I32" t="s">
        <v>12</v>
      </c>
      <c r="J32" t="e">
        <f t="shared" si="0"/>
        <v>#VALUE!</v>
      </c>
    </row>
    <row r="33" spans="1:10" x14ac:dyDescent="0.35">
      <c r="A33">
        <v>246</v>
      </c>
      <c r="B33" s="2">
        <v>45851</v>
      </c>
      <c r="C33" t="s">
        <v>30</v>
      </c>
      <c r="D33" t="s">
        <v>14</v>
      </c>
      <c r="E33" t="s">
        <v>11</v>
      </c>
      <c r="F33">
        <v>60</v>
      </c>
      <c r="G33" s="3">
        <v>4.5999999999999996</v>
      </c>
      <c r="H33" s="3">
        <v>276</v>
      </c>
      <c r="I33" t="s">
        <v>12</v>
      </c>
      <c r="J33" t="e">
        <f t="shared" si="0"/>
        <v>#VALUE!</v>
      </c>
    </row>
    <row r="34" spans="1:10" x14ac:dyDescent="0.35">
      <c r="A34">
        <v>539</v>
      </c>
      <c r="B34" s="2">
        <v>45854</v>
      </c>
      <c r="C34" t="s">
        <v>32</v>
      </c>
      <c r="D34" t="s">
        <v>20</v>
      </c>
      <c r="E34" t="s">
        <v>11</v>
      </c>
      <c r="F34">
        <v>71</v>
      </c>
      <c r="G34" s="3">
        <v>3.33</v>
      </c>
      <c r="H34" s="3">
        <v>236.43</v>
      </c>
      <c r="I34" t="s">
        <v>12</v>
      </c>
      <c r="J34" t="e">
        <f t="shared" si="0"/>
        <v>#VALUE!</v>
      </c>
    </row>
    <row r="35" spans="1:10" x14ac:dyDescent="0.35">
      <c r="A35">
        <v>210</v>
      </c>
      <c r="B35" s="2">
        <v>45855</v>
      </c>
      <c r="C35" t="s">
        <v>25</v>
      </c>
      <c r="D35" t="s">
        <v>17</v>
      </c>
      <c r="E35" t="s">
        <v>15</v>
      </c>
      <c r="F35">
        <v>44</v>
      </c>
      <c r="G35" s="3">
        <v>2.04</v>
      </c>
      <c r="H35" s="3">
        <v>89.76</v>
      </c>
      <c r="I35" t="s">
        <v>12</v>
      </c>
      <c r="J35" t="e">
        <f t="shared" si="0"/>
        <v>#VALUE!</v>
      </c>
    </row>
    <row r="36" spans="1:10" x14ac:dyDescent="0.35">
      <c r="A36">
        <v>250</v>
      </c>
      <c r="B36" s="2">
        <v>45855</v>
      </c>
      <c r="C36" t="s">
        <v>28</v>
      </c>
      <c r="D36" t="s">
        <v>20</v>
      </c>
      <c r="E36" t="s">
        <v>15</v>
      </c>
      <c r="F36">
        <v>58</v>
      </c>
      <c r="G36" s="3">
        <v>2.56</v>
      </c>
      <c r="H36" s="3">
        <v>148.47999999999999</v>
      </c>
      <c r="I36" t="s">
        <v>12</v>
      </c>
      <c r="J36" t="e">
        <f t="shared" si="0"/>
        <v>#VALUE!</v>
      </c>
    </row>
    <row r="37" spans="1:10" x14ac:dyDescent="0.35">
      <c r="A37">
        <v>373</v>
      </c>
      <c r="B37" s="2">
        <v>45855</v>
      </c>
      <c r="C37" t="s">
        <v>26</v>
      </c>
      <c r="D37" t="s">
        <v>27</v>
      </c>
      <c r="E37" t="s">
        <v>15</v>
      </c>
      <c r="F37">
        <v>60</v>
      </c>
      <c r="G37" s="3">
        <v>2.46</v>
      </c>
      <c r="H37" s="3">
        <v>147.6</v>
      </c>
      <c r="I37" t="s">
        <v>12</v>
      </c>
      <c r="J37" t="e">
        <f t="shared" si="0"/>
        <v>#VALUE!</v>
      </c>
    </row>
    <row r="38" spans="1:10" x14ac:dyDescent="0.35">
      <c r="A38">
        <v>428</v>
      </c>
      <c r="B38" s="2">
        <v>45855</v>
      </c>
      <c r="C38" t="s">
        <v>32</v>
      </c>
      <c r="D38" t="s">
        <v>20</v>
      </c>
      <c r="E38" t="s">
        <v>11</v>
      </c>
      <c r="F38">
        <v>47</v>
      </c>
      <c r="G38" s="3">
        <v>3.23</v>
      </c>
      <c r="H38" s="3">
        <v>151.81</v>
      </c>
      <c r="I38" t="s">
        <v>12</v>
      </c>
      <c r="J38" t="e">
        <f t="shared" si="0"/>
        <v>#VALUE!</v>
      </c>
    </row>
    <row r="39" spans="1:10" x14ac:dyDescent="0.35">
      <c r="A39">
        <v>284</v>
      </c>
      <c r="B39" s="2">
        <v>45856</v>
      </c>
      <c r="C39" t="s">
        <v>18</v>
      </c>
      <c r="D39" t="s">
        <v>10</v>
      </c>
      <c r="E39" t="s">
        <v>15</v>
      </c>
      <c r="F39">
        <v>30</v>
      </c>
      <c r="G39" s="3">
        <v>5.88</v>
      </c>
      <c r="H39" s="3">
        <v>176.4</v>
      </c>
      <c r="I39" t="s">
        <v>12</v>
      </c>
      <c r="J39" t="e">
        <f t="shared" si="0"/>
        <v>#VALUE!</v>
      </c>
    </row>
    <row r="40" spans="1:10" x14ac:dyDescent="0.35">
      <c r="A40">
        <v>389</v>
      </c>
      <c r="B40" s="2">
        <v>45856</v>
      </c>
      <c r="C40" t="s">
        <v>33</v>
      </c>
      <c r="D40" t="s">
        <v>20</v>
      </c>
      <c r="E40" t="s">
        <v>11</v>
      </c>
      <c r="F40">
        <v>21</v>
      </c>
      <c r="G40" s="3">
        <v>5.26</v>
      </c>
      <c r="H40" s="3">
        <v>110.46</v>
      </c>
      <c r="I40" t="s">
        <v>12</v>
      </c>
      <c r="J40" t="e">
        <f t="shared" si="0"/>
        <v>#VALUE!</v>
      </c>
    </row>
    <row r="41" spans="1:10" x14ac:dyDescent="0.35">
      <c r="A41">
        <v>399</v>
      </c>
      <c r="B41" s="2">
        <v>45858</v>
      </c>
      <c r="C41" t="s">
        <v>34</v>
      </c>
      <c r="D41" t="s">
        <v>10</v>
      </c>
      <c r="E41" t="s">
        <v>15</v>
      </c>
      <c r="F41">
        <v>53</v>
      </c>
      <c r="G41" s="3">
        <v>4.0599999999999996</v>
      </c>
      <c r="H41" s="3">
        <v>215.18</v>
      </c>
      <c r="I41" t="s">
        <v>12</v>
      </c>
      <c r="J41" t="e">
        <f t="shared" si="0"/>
        <v>#VALUE!</v>
      </c>
    </row>
    <row r="42" spans="1:10" x14ac:dyDescent="0.35">
      <c r="A42">
        <v>45</v>
      </c>
      <c r="B42" s="2">
        <v>45860</v>
      </c>
      <c r="C42" t="s">
        <v>16</v>
      </c>
      <c r="D42" t="s">
        <v>17</v>
      </c>
      <c r="E42" t="s">
        <v>15</v>
      </c>
      <c r="F42">
        <v>54</v>
      </c>
      <c r="G42" s="3">
        <v>2.35</v>
      </c>
      <c r="H42" s="3">
        <v>126.9</v>
      </c>
      <c r="I42" t="s">
        <v>12</v>
      </c>
      <c r="J42" t="e">
        <f t="shared" si="0"/>
        <v>#VALUE!</v>
      </c>
    </row>
    <row r="43" spans="1:10" x14ac:dyDescent="0.35">
      <c r="A43">
        <v>112</v>
      </c>
      <c r="B43" s="2">
        <v>45861</v>
      </c>
      <c r="C43" t="s">
        <v>35</v>
      </c>
      <c r="D43" t="s">
        <v>17</v>
      </c>
      <c r="E43" t="s">
        <v>11</v>
      </c>
      <c r="F43">
        <v>49</v>
      </c>
      <c r="G43" s="3">
        <v>5.77</v>
      </c>
      <c r="H43" s="3">
        <v>282.73</v>
      </c>
      <c r="I43" t="s">
        <v>12</v>
      </c>
      <c r="J43" t="e">
        <f t="shared" si="0"/>
        <v>#VALUE!</v>
      </c>
    </row>
    <row r="44" spans="1:10" x14ac:dyDescent="0.35">
      <c r="A44">
        <v>166</v>
      </c>
      <c r="B44" s="2">
        <v>45861</v>
      </c>
      <c r="C44" t="s">
        <v>13</v>
      </c>
      <c r="D44" t="s">
        <v>14</v>
      </c>
      <c r="E44" t="s">
        <v>15</v>
      </c>
      <c r="F44">
        <v>60</v>
      </c>
      <c r="G44" s="3">
        <v>1.85</v>
      </c>
      <c r="H44" s="3">
        <v>111</v>
      </c>
      <c r="I44" t="s">
        <v>12</v>
      </c>
      <c r="J44" t="e">
        <f t="shared" si="0"/>
        <v>#VALUE!</v>
      </c>
    </row>
    <row r="45" spans="1:10" x14ac:dyDescent="0.35">
      <c r="A45">
        <v>544</v>
      </c>
      <c r="B45" s="2">
        <v>45861</v>
      </c>
      <c r="C45" t="s">
        <v>16</v>
      </c>
      <c r="D45" t="s">
        <v>17</v>
      </c>
      <c r="E45" t="s">
        <v>15</v>
      </c>
      <c r="F45">
        <v>61</v>
      </c>
      <c r="G45" s="3">
        <v>2.27</v>
      </c>
      <c r="H45" s="3">
        <v>138.47</v>
      </c>
      <c r="I45" t="s">
        <v>12</v>
      </c>
      <c r="J45" t="e">
        <f t="shared" si="0"/>
        <v>#VALUE!</v>
      </c>
    </row>
    <row r="46" spans="1:10" x14ac:dyDescent="0.35">
      <c r="A46">
        <v>401</v>
      </c>
      <c r="B46" s="2">
        <v>45862</v>
      </c>
      <c r="C46" t="s">
        <v>32</v>
      </c>
      <c r="D46" t="s">
        <v>20</v>
      </c>
      <c r="E46" t="s">
        <v>11</v>
      </c>
      <c r="F46">
        <v>37</v>
      </c>
      <c r="G46" s="3">
        <v>3.2</v>
      </c>
      <c r="H46" s="3">
        <v>118.4</v>
      </c>
      <c r="I46" t="s">
        <v>12</v>
      </c>
      <c r="J46" t="e">
        <f t="shared" si="0"/>
        <v>#VALUE!</v>
      </c>
    </row>
    <row r="47" spans="1:10" x14ac:dyDescent="0.35">
      <c r="A47">
        <v>567</v>
      </c>
      <c r="B47" s="2">
        <v>45862</v>
      </c>
      <c r="C47" t="s">
        <v>9</v>
      </c>
      <c r="D47" t="s">
        <v>10</v>
      </c>
      <c r="E47" t="s">
        <v>11</v>
      </c>
      <c r="F47">
        <v>43</v>
      </c>
      <c r="G47" s="3">
        <v>12.59</v>
      </c>
      <c r="H47" s="3">
        <v>541.37</v>
      </c>
      <c r="I47" t="s">
        <v>12</v>
      </c>
      <c r="J47" t="e">
        <f t="shared" si="0"/>
        <v>#VALUE!</v>
      </c>
    </row>
    <row r="48" spans="1:10" x14ac:dyDescent="0.35">
      <c r="A48">
        <v>87</v>
      </c>
      <c r="B48" s="2">
        <v>45863</v>
      </c>
      <c r="C48" t="s">
        <v>25</v>
      </c>
      <c r="D48" t="s">
        <v>17</v>
      </c>
      <c r="E48" t="s">
        <v>15</v>
      </c>
      <c r="F48">
        <v>68</v>
      </c>
      <c r="G48" s="3">
        <v>2.11</v>
      </c>
      <c r="H48" s="3">
        <v>143.47999999999999</v>
      </c>
      <c r="I48" t="s">
        <v>12</v>
      </c>
      <c r="J48" t="e">
        <f t="shared" si="0"/>
        <v>#VALUE!</v>
      </c>
    </row>
    <row r="49" spans="1:10" x14ac:dyDescent="0.35">
      <c r="A49">
        <v>208</v>
      </c>
      <c r="B49" s="2">
        <v>45863</v>
      </c>
      <c r="C49" t="s">
        <v>32</v>
      </c>
      <c r="D49" t="s">
        <v>20</v>
      </c>
      <c r="E49" t="s">
        <v>11</v>
      </c>
      <c r="F49">
        <v>32</v>
      </c>
      <c r="G49" s="3">
        <v>3.07</v>
      </c>
      <c r="H49" s="3">
        <v>98.24</v>
      </c>
      <c r="I49" t="s">
        <v>12</v>
      </c>
      <c r="J49" t="e">
        <f t="shared" si="0"/>
        <v>#VALUE!</v>
      </c>
    </row>
    <row r="50" spans="1:10" x14ac:dyDescent="0.35">
      <c r="A50">
        <v>356</v>
      </c>
      <c r="B50" s="2">
        <v>45863</v>
      </c>
      <c r="C50" t="s">
        <v>36</v>
      </c>
      <c r="D50" t="s">
        <v>14</v>
      </c>
      <c r="E50" t="s">
        <v>15</v>
      </c>
      <c r="F50">
        <v>49</v>
      </c>
      <c r="G50" s="3">
        <v>2.11</v>
      </c>
      <c r="H50" s="3">
        <v>103.39</v>
      </c>
      <c r="I50" t="s">
        <v>12</v>
      </c>
      <c r="J50" t="e">
        <f t="shared" si="0"/>
        <v>#VALUE!</v>
      </c>
    </row>
    <row r="51" spans="1:10" x14ac:dyDescent="0.35">
      <c r="A51">
        <v>357</v>
      </c>
      <c r="B51" s="2">
        <v>45863</v>
      </c>
      <c r="C51" t="s">
        <v>37</v>
      </c>
      <c r="D51" t="s">
        <v>27</v>
      </c>
      <c r="E51" t="s">
        <v>11</v>
      </c>
      <c r="F51">
        <v>54</v>
      </c>
      <c r="G51" s="3">
        <v>8.0500000000000007</v>
      </c>
      <c r="H51" s="3">
        <v>434.7</v>
      </c>
      <c r="I51" t="s">
        <v>12</v>
      </c>
      <c r="J51" t="e">
        <f t="shared" si="0"/>
        <v>#VALUE!</v>
      </c>
    </row>
    <row r="52" spans="1:10" x14ac:dyDescent="0.35">
      <c r="A52">
        <v>46</v>
      </c>
      <c r="B52" s="2">
        <v>45865</v>
      </c>
      <c r="C52" t="s">
        <v>36</v>
      </c>
      <c r="D52" t="s">
        <v>14</v>
      </c>
      <c r="E52" t="s">
        <v>15</v>
      </c>
      <c r="F52">
        <v>62</v>
      </c>
      <c r="G52" s="3">
        <v>2.27</v>
      </c>
      <c r="H52" s="3">
        <v>140.74</v>
      </c>
      <c r="I52" t="s">
        <v>12</v>
      </c>
      <c r="J52" t="e">
        <f t="shared" si="0"/>
        <v>#VALUE!</v>
      </c>
    </row>
    <row r="53" spans="1:10" x14ac:dyDescent="0.35">
      <c r="A53">
        <v>15</v>
      </c>
      <c r="B53" s="2">
        <v>45866</v>
      </c>
      <c r="C53" t="s">
        <v>18</v>
      </c>
      <c r="D53" t="s">
        <v>10</v>
      </c>
      <c r="E53" t="s">
        <v>15</v>
      </c>
      <c r="F53">
        <v>38</v>
      </c>
      <c r="G53" s="3">
        <v>5.99</v>
      </c>
      <c r="H53" s="3">
        <v>227.62</v>
      </c>
      <c r="I53" t="s">
        <v>12</v>
      </c>
      <c r="J53" t="e">
        <f t="shared" si="0"/>
        <v>#VALUE!</v>
      </c>
    </row>
    <row r="54" spans="1:10" x14ac:dyDescent="0.35">
      <c r="A54">
        <v>22</v>
      </c>
      <c r="B54" s="2">
        <v>45866</v>
      </c>
      <c r="C54" t="s">
        <v>19</v>
      </c>
      <c r="D54" t="s">
        <v>20</v>
      </c>
      <c r="E54" t="s">
        <v>15</v>
      </c>
      <c r="F54">
        <v>75</v>
      </c>
      <c r="G54" s="3">
        <v>3.2</v>
      </c>
      <c r="H54" s="3">
        <v>240</v>
      </c>
      <c r="I54" t="s">
        <v>12</v>
      </c>
      <c r="J54" t="e">
        <f t="shared" si="0"/>
        <v>#VALUE!</v>
      </c>
    </row>
    <row r="55" spans="1:10" x14ac:dyDescent="0.35">
      <c r="A55">
        <v>131</v>
      </c>
      <c r="B55" s="2">
        <v>45866</v>
      </c>
      <c r="C55" t="s">
        <v>29</v>
      </c>
      <c r="D55" t="s">
        <v>22</v>
      </c>
      <c r="E55" t="s">
        <v>15</v>
      </c>
      <c r="F55">
        <v>70</v>
      </c>
      <c r="G55" s="3">
        <v>1.6</v>
      </c>
      <c r="H55" s="3">
        <v>112</v>
      </c>
      <c r="I55" t="s">
        <v>12</v>
      </c>
      <c r="J55" t="e">
        <f t="shared" si="0"/>
        <v>#VALUE!</v>
      </c>
    </row>
    <row r="56" spans="1:10" x14ac:dyDescent="0.35">
      <c r="A56">
        <v>17</v>
      </c>
      <c r="B56" s="2">
        <v>45873</v>
      </c>
      <c r="C56" t="s">
        <v>36</v>
      </c>
      <c r="D56" t="s">
        <v>14</v>
      </c>
      <c r="E56" t="s">
        <v>15</v>
      </c>
      <c r="F56">
        <v>38</v>
      </c>
      <c r="G56" s="3">
        <v>2.16</v>
      </c>
      <c r="H56" s="3">
        <v>82.08</v>
      </c>
      <c r="I56" t="s">
        <v>38</v>
      </c>
      <c r="J56" t="e">
        <f t="shared" si="0"/>
        <v>#VALUE!</v>
      </c>
    </row>
    <row r="57" spans="1:10" x14ac:dyDescent="0.35">
      <c r="A57">
        <v>324</v>
      </c>
      <c r="B57" s="2">
        <v>45874</v>
      </c>
      <c r="C57" t="s">
        <v>29</v>
      </c>
      <c r="D57" t="s">
        <v>22</v>
      </c>
      <c r="E57" t="s">
        <v>15</v>
      </c>
      <c r="F57">
        <v>43</v>
      </c>
      <c r="G57" s="3">
        <v>1.58</v>
      </c>
      <c r="H57" s="3">
        <v>67.94</v>
      </c>
      <c r="I57" t="s">
        <v>38</v>
      </c>
      <c r="J57" t="e">
        <f t="shared" si="0"/>
        <v>#VALUE!</v>
      </c>
    </row>
    <row r="58" spans="1:10" x14ac:dyDescent="0.35">
      <c r="A58">
        <v>336</v>
      </c>
      <c r="B58" s="2">
        <v>45874</v>
      </c>
      <c r="C58" t="s">
        <v>23</v>
      </c>
      <c r="D58" t="s">
        <v>17</v>
      </c>
      <c r="E58" t="s">
        <v>11</v>
      </c>
      <c r="F58">
        <v>74</v>
      </c>
      <c r="G58" s="3">
        <v>6.16</v>
      </c>
      <c r="H58" s="3">
        <v>455.84</v>
      </c>
      <c r="I58" t="s">
        <v>38</v>
      </c>
      <c r="J58" t="e">
        <f t="shared" si="0"/>
        <v>#VALUE!</v>
      </c>
    </row>
    <row r="59" spans="1:10" x14ac:dyDescent="0.35">
      <c r="A59">
        <v>342</v>
      </c>
      <c r="B59" s="2">
        <v>45874</v>
      </c>
      <c r="C59" t="s">
        <v>19</v>
      </c>
      <c r="D59" t="s">
        <v>20</v>
      </c>
      <c r="E59" t="s">
        <v>15</v>
      </c>
      <c r="F59">
        <v>43</v>
      </c>
      <c r="G59" s="3">
        <v>3.12</v>
      </c>
      <c r="H59" s="3">
        <v>134.16</v>
      </c>
      <c r="I59" t="s">
        <v>38</v>
      </c>
      <c r="J59" t="e">
        <f t="shared" si="0"/>
        <v>#VALUE!</v>
      </c>
    </row>
    <row r="60" spans="1:10" x14ac:dyDescent="0.35">
      <c r="A60">
        <v>534</v>
      </c>
      <c r="B60" s="2">
        <v>45875</v>
      </c>
      <c r="C60" t="s">
        <v>34</v>
      </c>
      <c r="D60" t="s">
        <v>10</v>
      </c>
      <c r="E60" t="s">
        <v>15</v>
      </c>
      <c r="F60">
        <v>48</v>
      </c>
      <c r="G60" s="3">
        <v>4.2</v>
      </c>
      <c r="H60" s="3">
        <v>201.6</v>
      </c>
      <c r="I60" t="s">
        <v>38</v>
      </c>
      <c r="J60" t="e">
        <f t="shared" si="0"/>
        <v>#VALUE!</v>
      </c>
    </row>
    <row r="61" spans="1:10" x14ac:dyDescent="0.35">
      <c r="A61">
        <v>150</v>
      </c>
      <c r="B61" s="2">
        <v>45876</v>
      </c>
      <c r="C61" t="s">
        <v>30</v>
      </c>
      <c r="D61" t="s">
        <v>14</v>
      </c>
      <c r="E61" t="s">
        <v>11</v>
      </c>
      <c r="F61">
        <v>58</v>
      </c>
      <c r="G61" s="3">
        <v>4.82</v>
      </c>
      <c r="H61" s="3">
        <v>279.56</v>
      </c>
      <c r="I61" t="s">
        <v>38</v>
      </c>
      <c r="J61" t="e">
        <f t="shared" si="0"/>
        <v>#VALUE!</v>
      </c>
    </row>
    <row r="62" spans="1:10" x14ac:dyDescent="0.35">
      <c r="A62">
        <v>134</v>
      </c>
      <c r="B62" s="2">
        <v>45877</v>
      </c>
      <c r="C62" t="s">
        <v>33</v>
      </c>
      <c r="D62" t="s">
        <v>20</v>
      </c>
      <c r="E62" t="s">
        <v>11</v>
      </c>
      <c r="F62">
        <v>36</v>
      </c>
      <c r="G62" s="3">
        <v>5.46</v>
      </c>
      <c r="H62" s="3">
        <v>196.56</v>
      </c>
      <c r="I62" t="s">
        <v>38</v>
      </c>
      <c r="J62" t="e">
        <f t="shared" si="0"/>
        <v>#VALUE!</v>
      </c>
    </row>
    <row r="63" spans="1:10" x14ac:dyDescent="0.35">
      <c r="A63">
        <v>323</v>
      </c>
      <c r="B63" s="2">
        <v>45877</v>
      </c>
      <c r="C63" t="s">
        <v>19</v>
      </c>
      <c r="D63" t="s">
        <v>20</v>
      </c>
      <c r="E63" t="s">
        <v>15</v>
      </c>
      <c r="F63">
        <v>72</v>
      </c>
      <c r="G63" s="3">
        <v>2.92</v>
      </c>
      <c r="H63" s="3">
        <v>210.24</v>
      </c>
      <c r="I63" t="s">
        <v>38</v>
      </c>
      <c r="J63" t="e">
        <f t="shared" si="0"/>
        <v>#VALUE!</v>
      </c>
    </row>
    <row r="64" spans="1:10" x14ac:dyDescent="0.35">
      <c r="A64">
        <v>458</v>
      </c>
      <c r="B64" s="2">
        <v>45877</v>
      </c>
      <c r="C64" t="s">
        <v>34</v>
      </c>
      <c r="D64" t="s">
        <v>10</v>
      </c>
      <c r="E64" t="s">
        <v>15</v>
      </c>
      <c r="F64">
        <v>58</v>
      </c>
      <c r="G64" s="3">
        <v>4.1500000000000004</v>
      </c>
      <c r="H64" s="3">
        <v>240.7</v>
      </c>
      <c r="I64" t="s">
        <v>38</v>
      </c>
      <c r="J64" t="e">
        <f t="shared" si="0"/>
        <v>#VALUE!</v>
      </c>
    </row>
    <row r="65" spans="1:10" x14ac:dyDescent="0.35">
      <c r="A65">
        <v>195</v>
      </c>
      <c r="B65" s="2">
        <v>45878</v>
      </c>
      <c r="C65" t="s">
        <v>23</v>
      </c>
      <c r="D65" t="s">
        <v>17</v>
      </c>
      <c r="E65" t="s">
        <v>11</v>
      </c>
      <c r="F65">
        <v>33</v>
      </c>
      <c r="G65" s="3">
        <v>6.35</v>
      </c>
      <c r="H65" s="3">
        <v>209.55</v>
      </c>
      <c r="I65" t="s">
        <v>38</v>
      </c>
      <c r="J65" t="e">
        <f t="shared" si="0"/>
        <v>#VALUE!</v>
      </c>
    </row>
    <row r="66" spans="1:10" x14ac:dyDescent="0.35">
      <c r="A66">
        <v>558</v>
      </c>
      <c r="B66" s="2">
        <v>45879</v>
      </c>
      <c r="C66" t="s">
        <v>29</v>
      </c>
      <c r="D66" t="s">
        <v>22</v>
      </c>
      <c r="E66" t="s">
        <v>15</v>
      </c>
      <c r="F66">
        <v>52</v>
      </c>
      <c r="G66" s="3">
        <v>1.47</v>
      </c>
      <c r="H66" s="3">
        <v>76.44</v>
      </c>
      <c r="I66" t="s">
        <v>38</v>
      </c>
      <c r="J66" t="e">
        <f t="shared" ref="J66:J129" si="1">(I67-I66)/I66</f>
        <v>#VALUE!</v>
      </c>
    </row>
    <row r="67" spans="1:10" x14ac:dyDescent="0.35">
      <c r="A67">
        <v>372</v>
      </c>
      <c r="B67" s="2">
        <v>45880</v>
      </c>
      <c r="C67" t="s">
        <v>9</v>
      </c>
      <c r="D67" t="s">
        <v>10</v>
      </c>
      <c r="E67" t="s">
        <v>11</v>
      </c>
      <c r="F67">
        <v>75</v>
      </c>
      <c r="G67" s="3">
        <v>12.89</v>
      </c>
      <c r="H67" s="3">
        <v>966.75</v>
      </c>
      <c r="I67" t="s">
        <v>38</v>
      </c>
      <c r="J67" t="e">
        <f t="shared" si="1"/>
        <v>#VALUE!</v>
      </c>
    </row>
    <row r="68" spans="1:10" x14ac:dyDescent="0.35">
      <c r="A68">
        <v>316</v>
      </c>
      <c r="B68" s="2">
        <v>45881</v>
      </c>
      <c r="C68" t="s">
        <v>21</v>
      </c>
      <c r="D68" t="s">
        <v>22</v>
      </c>
      <c r="E68" t="s">
        <v>11</v>
      </c>
      <c r="F68">
        <v>48</v>
      </c>
      <c r="G68" s="3">
        <v>5.24</v>
      </c>
      <c r="H68" s="3">
        <v>251.52</v>
      </c>
      <c r="I68" t="s">
        <v>38</v>
      </c>
      <c r="J68" t="e">
        <f t="shared" si="1"/>
        <v>#VALUE!</v>
      </c>
    </row>
    <row r="69" spans="1:10" x14ac:dyDescent="0.35">
      <c r="A69">
        <v>76</v>
      </c>
      <c r="B69" s="2">
        <v>45882</v>
      </c>
      <c r="C69" t="s">
        <v>33</v>
      </c>
      <c r="D69" t="s">
        <v>20</v>
      </c>
      <c r="E69" t="s">
        <v>11</v>
      </c>
      <c r="F69">
        <v>43</v>
      </c>
      <c r="G69" s="3">
        <v>5.49</v>
      </c>
      <c r="H69" s="3">
        <v>236.07</v>
      </c>
      <c r="I69" t="s">
        <v>38</v>
      </c>
      <c r="J69" t="e">
        <f t="shared" si="1"/>
        <v>#VALUE!</v>
      </c>
    </row>
    <row r="70" spans="1:10" x14ac:dyDescent="0.35">
      <c r="A70">
        <v>127</v>
      </c>
      <c r="B70" s="2">
        <v>45884</v>
      </c>
      <c r="C70" t="s">
        <v>32</v>
      </c>
      <c r="D70" t="s">
        <v>20</v>
      </c>
      <c r="E70" t="s">
        <v>11</v>
      </c>
      <c r="F70">
        <v>23</v>
      </c>
      <c r="G70" s="3">
        <v>3.08</v>
      </c>
      <c r="H70" s="3">
        <v>70.84</v>
      </c>
      <c r="I70" t="s">
        <v>38</v>
      </c>
      <c r="J70" t="e">
        <f t="shared" si="1"/>
        <v>#VALUE!</v>
      </c>
    </row>
    <row r="71" spans="1:10" x14ac:dyDescent="0.35">
      <c r="A71">
        <v>460</v>
      </c>
      <c r="B71" s="2">
        <v>45884</v>
      </c>
      <c r="C71" t="s">
        <v>33</v>
      </c>
      <c r="D71" t="s">
        <v>20</v>
      </c>
      <c r="E71" t="s">
        <v>11</v>
      </c>
      <c r="F71">
        <v>79</v>
      </c>
      <c r="G71" s="3">
        <v>5.5</v>
      </c>
      <c r="H71" s="3">
        <v>434.5</v>
      </c>
      <c r="I71" t="s">
        <v>38</v>
      </c>
      <c r="J71" t="e">
        <f t="shared" si="1"/>
        <v>#VALUE!</v>
      </c>
    </row>
    <row r="72" spans="1:10" x14ac:dyDescent="0.35">
      <c r="A72">
        <v>582</v>
      </c>
      <c r="B72" s="2">
        <v>45884</v>
      </c>
      <c r="C72" t="s">
        <v>16</v>
      </c>
      <c r="D72" t="s">
        <v>17</v>
      </c>
      <c r="E72" t="s">
        <v>15</v>
      </c>
      <c r="F72">
        <v>77</v>
      </c>
      <c r="G72" s="3">
        <v>2.36</v>
      </c>
      <c r="H72" s="3">
        <v>181.72</v>
      </c>
      <c r="I72" t="s">
        <v>38</v>
      </c>
      <c r="J72" t="e">
        <f t="shared" si="1"/>
        <v>#VALUE!</v>
      </c>
    </row>
    <row r="73" spans="1:10" x14ac:dyDescent="0.35">
      <c r="A73">
        <v>128</v>
      </c>
      <c r="B73" s="2">
        <v>45885</v>
      </c>
      <c r="C73" t="s">
        <v>21</v>
      </c>
      <c r="D73" t="s">
        <v>22</v>
      </c>
      <c r="E73" t="s">
        <v>11</v>
      </c>
      <c r="F73">
        <v>24</v>
      </c>
      <c r="G73" s="3">
        <v>4.8499999999999996</v>
      </c>
      <c r="H73" s="3">
        <v>116.4</v>
      </c>
      <c r="I73" t="s">
        <v>38</v>
      </c>
      <c r="J73" t="e">
        <f t="shared" si="1"/>
        <v>#VALUE!</v>
      </c>
    </row>
    <row r="74" spans="1:10" x14ac:dyDescent="0.35">
      <c r="A74">
        <v>230</v>
      </c>
      <c r="B74" s="2">
        <v>45885</v>
      </c>
      <c r="C74" t="s">
        <v>21</v>
      </c>
      <c r="D74" t="s">
        <v>22</v>
      </c>
      <c r="E74" t="s">
        <v>11</v>
      </c>
      <c r="F74">
        <v>66</v>
      </c>
      <c r="G74" s="3">
        <v>5.14</v>
      </c>
      <c r="H74" s="3">
        <v>339.24</v>
      </c>
      <c r="I74" t="s">
        <v>38</v>
      </c>
      <c r="J74" t="e">
        <f t="shared" si="1"/>
        <v>#VALUE!</v>
      </c>
    </row>
    <row r="75" spans="1:10" x14ac:dyDescent="0.35">
      <c r="A75">
        <v>505</v>
      </c>
      <c r="B75" s="2">
        <v>45885</v>
      </c>
      <c r="C75" t="s">
        <v>30</v>
      </c>
      <c r="D75" t="s">
        <v>14</v>
      </c>
      <c r="E75" t="s">
        <v>11</v>
      </c>
      <c r="F75">
        <v>5</v>
      </c>
      <c r="G75" s="3">
        <v>4.28</v>
      </c>
      <c r="H75" s="3">
        <v>21.4</v>
      </c>
      <c r="I75" t="s">
        <v>38</v>
      </c>
      <c r="J75" t="e">
        <f t="shared" si="1"/>
        <v>#VALUE!</v>
      </c>
    </row>
    <row r="76" spans="1:10" x14ac:dyDescent="0.35">
      <c r="A76">
        <v>129</v>
      </c>
      <c r="B76" s="2">
        <v>45886</v>
      </c>
      <c r="C76" t="s">
        <v>13</v>
      </c>
      <c r="D76" t="s">
        <v>14</v>
      </c>
      <c r="E76" t="s">
        <v>15</v>
      </c>
      <c r="F76">
        <v>66</v>
      </c>
      <c r="G76" s="3">
        <v>1.75</v>
      </c>
      <c r="H76" s="3">
        <v>115.5</v>
      </c>
      <c r="I76" t="s">
        <v>38</v>
      </c>
      <c r="J76" t="e">
        <f t="shared" si="1"/>
        <v>#VALUE!</v>
      </c>
    </row>
    <row r="77" spans="1:10" x14ac:dyDescent="0.35">
      <c r="A77">
        <v>587</v>
      </c>
      <c r="B77" s="2">
        <v>45886</v>
      </c>
      <c r="C77" t="s">
        <v>13</v>
      </c>
      <c r="D77" t="s">
        <v>14</v>
      </c>
      <c r="E77" t="s">
        <v>15</v>
      </c>
      <c r="F77">
        <v>91</v>
      </c>
      <c r="G77" s="3">
        <v>1.73</v>
      </c>
      <c r="H77" s="3">
        <v>157.43</v>
      </c>
      <c r="I77" t="s">
        <v>38</v>
      </c>
      <c r="J77" t="e">
        <f t="shared" si="1"/>
        <v>#VALUE!</v>
      </c>
    </row>
    <row r="78" spans="1:10" x14ac:dyDescent="0.35">
      <c r="A78">
        <v>330</v>
      </c>
      <c r="B78" s="2">
        <v>45887</v>
      </c>
      <c r="C78" t="s">
        <v>18</v>
      </c>
      <c r="D78" t="s">
        <v>10</v>
      </c>
      <c r="E78" t="s">
        <v>15</v>
      </c>
      <c r="F78">
        <v>34</v>
      </c>
      <c r="G78" s="3">
        <v>6.07</v>
      </c>
      <c r="H78" s="3">
        <v>206.38</v>
      </c>
      <c r="I78" t="s">
        <v>38</v>
      </c>
      <c r="J78" t="e">
        <f t="shared" si="1"/>
        <v>#VALUE!</v>
      </c>
    </row>
    <row r="79" spans="1:10" x14ac:dyDescent="0.35">
      <c r="A79">
        <v>351</v>
      </c>
      <c r="B79" s="2">
        <v>45887</v>
      </c>
      <c r="C79" t="s">
        <v>21</v>
      </c>
      <c r="D79" t="s">
        <v>22</v>
      </c>
      <c r="E79" t="s">
        <v>11</v>
      </c>
      <c r="F79">
        <v>71</v>
      </c>
      <c r="G79" s="3">
        <v>5.0999999999999996</v>
      </c>
      <c r="H79" s="3">
        <v>362.1</v>
      </c>
      <c r="I79" t="s">
        <v>38</v>
      </c>
      <c r="J79" t="e">
        <f t="shared" si="1"/>
        <v>#VALUE!</v>
      </c>
    </row>
    <row r="80" spans="1:10" x14ac:dyDescent="0.35">
      <c r="A80">
        <v>382</v>
      </c>
      <c r="B80" s="2">
        <v>45887</v>
      </c>
      <c r="C80" t="s">
        <v>16</v>
      </c>
      <c r="D80" t="s">
        <v>17</v>
      </c>
      <c r="E80" t="s">
        <v>15</v>
      </c>
      <c r="F80">
        <v>78</v>
      </c>
      <c r="G80" s="3">
        <v>2.31</v>
      </c>
      <c r="H80" s="3">
        <v>180.18</v>
      </c>
      <c r="I80" t="s">
        <v>38</v>
      </c>
      <c r="J80" t="e">
        <f t="shared" si="1"/>
        <v>#VALUE!</v>
      </c>
    </row>
    <row r="81" spans="1:10" x14ac:dyDescent="0.35">
      <c r="A81">
        <v>499</v>
      </c>
      <c r="B81" s="2">
        <v>45887</v>
      </c>
      <c r="C81" t="s">
        <v>18</v>
      </c>
      <c r="D81" t="s">
        <v>10</v>
      </c>
      <c r="E81" t="s">
        <v>15</v>
      </c>
      <c r="F81">
        <v>43</v>
      </c>
      <c r="G81" s="3">
        <v>6.22</v>
      </c>
      <c r="H81" s="3">
        <v>267.45999999999998</v>
      </c>
      <c r="I81" t="s">
        <v>38</v>
      </c>
      <c r="J81" t="e">
        <f t="shared" si="1"/>
        <v>#VALUE!</v>
      </c>
    </row>
    <row r="82" spans="1:10" x14ac:dyDescent="0.35">
      <c r="A82">
        <v>548</v>
      </c>
      <c r="B82" s="2">
        <v>45887</v>
      </c>
      <c r="C82" t="s">
        <v>32</v>
      </c>
      <c r="D82" t="s">
        <v>20</v>
      </c>
      <c r="E82" t="s">
        <v>11</v>
      </c>
      <c r="F82">
        <v>59</v>
      </c>
      <c r="G82" s="3">
        <v>3.12</v>
      </c>
      <c r="H82" s="3">
        <v>184.08</v>
      </c>
      <c r="I82" t="s">
        <v>38</v>
      </c>
      <c r="J82" t="e">
        <f t="shared" si="1"/>
        <v>#VALUE!</v>
      </c>
    </row>
    <row r="83" spans="1:10" x14ac:dyDescent="0.35">
      <c r="A83">
        <v>281</v>
      </c>
      <c r="B83" s="2">
        <v>45888</v>
      </c>
      <c r="C83" t="s">
        <v>21</v>
      </c>
      <c r="D83" t="s">
        <v>22</v>
      </c>
      <c r="E83" t="s">
        <v>11</v>
      </c>
      <c r="F83">
        <v>37</v>
      </c>
      <c r="G83" s="3">
        <v>5.01</v>
      </c>
      <c r="H83" s="3">
        <v>185.37</v>
      </c>
      <c r="I83" t="s">
        <v>38</v>
      </c>
      <c r="J83" t="e">
        <f t="shared" si="1"/>
        <v>#VALUE!</v>
      </c>
    </row>
    <row r="84" spans="1:10" x14ac:dyDescent="0.35">
      <c r="A84">
        <v>328</v>
      </c>
      <c r="B84" s="2">
        <v>45888</v>
      </c>
      <c r="C84" t="s">
        <v>18</v>
      </c>
      <c r="D84" t="s">
        <v>10</v>
      </c>
      <c r="E84" t="s">
        <v>15</v>
      </c>
      <c r="F84">
        <v>42</v>
      </c>
      <c r="G84" s="3">
        <v>6.22</v>
      </c>
      <c r="H84" s="3">
        <v>261.24</v>
      </c>
      <c r="I84" t="s">
        <v>38</v>
      </c>
      <c r="J84" t="e">
        <f t="shared" si="1"/>
        <v>#VALUE!</v>
      </c>
    </row>
    <row r="85" spans="1:10" x14ac:dyDescent="0.35">
      <c r="A85">
        <v>170</v>
      </c>
      <c r="B85" s="2">
        <v>45889</v>
      </c>
      <c r="C85" t="s">
        <v>26</v>
      </c>
      <c r="D85" t="s">
        <v>27</v>
      </c>
      <c r="E85" t="s">
        <v>15</v>
      </c>
      <c r="F85">
        <v>34</v>
      </c>
      <c r="G85" s="3">
        <v>2.68</v>
      </c>
      <c r="H85" s="3">
        <v>91.12</v>
      </c>
      <c r="I85" t="s">
        <v>38</v>
      </c>
      <c r="J85" t="e">
        <f t="shared" si="1"/>
        <v>#VALUE!</v>
      </c>
    </row>
    <row r="86" spans="1:10" x14ac:dyDescent="0.35">
      <c r="A86">
        <v>27</v>
      </c>
      <c r="B86" s="2">
        <v>45890</v>
      </c>
      <c r="C86" t="s">
        <v>13</v>
      </c>
      <c r="D86" t="s">
        <v>14</v>
      </c>
      <c r="E86" t="s">
        <v>15</v>
      </c>
      <c r="F86">
        <v>20</v>
      </c>
      <c r="G86" s="3">
        <v>1.78</v>
      </c>
      <c r="H86" s="3">
        <v>35.6</v>
      </c>
      <c r="I86" t="s">
        <v>38</v>
      </c>
      <c r="J86" t="e">
        <f t="shared" si="1"/>
        <v>#VALUE!</v>
      </c>
    </row>
    <row r="87" spans="1:10" x14ac:dyDescent="0.35">
      <c r="A87">
        <v>545</v>
      </c>
      <c r="B87" s="2">
        <v>45890</v>
      </c>
      <c r="C87" t="s">
        <v>25</v>
      </c>
      <c r="D87" t="s">
        <v>17</v>
      </c>
      <c r="E87" t="s">
        <v>15</v>
      </c>
      <c r="F87">
        <v>69</v>
      </c>
      <c r="G87" s="3">
        <v>2.11</v>
      </c>
      <c r="H87" s="3">
        <v>145.59</v>
      </c>
      <c r="I87" t="s">
        <v>38</v>
      </c>
      <c r="J87" t="e">
        <f t="shared" si="1"/>
        <v>#VALUE!</v>
      </c>
    </row>
    <row r="88" spans="1:10" x14ac:dyDescent="0.35">
      <c r="A88">
        <v>13</v>
      </c>
      <c r="B88" s="2">
        <v>45891</v>
      </c>
      <c r="C88" t="s">
        <v>32</v>
      </c>
      <c r="D88" t="s">
        <v>20</v>
      </c>
      <c r="E88" t="s">
        <v>11</v>
      </c>
      <c r="F88">
        <v>55</v>
      </c>
      <c r="G88" s="3">
        <v>3.34</v>
      </c>
      <c r="H88" s="3">
        <v>183.7</v>
      </c>
      <c r="I88" t="s">
        <v>38</v>
      </c>
      <c r="J88" t="e">
        <f t="shared" si="1"/>
        <v>#VALUE!</v>
      </c>
    </row>
    <row r="89" spans="1:10" x14ac:dyDescent="0.35">
      <c r="A89">
        <v>122</v>
      </c>
      <c r="B89" s="2">
        <v>45891</v>
      </c>
      <c r="C89" t="s">
        <v>30</v>
      </c>
      <c r="D89" t="s">
        <v>14</v>
      </c>
      <c r="E89" t="s">
        <v>11</v>
      </c>
      <c r="F89">
        <v>15</v>
      </c>
      <c r="G89" s="3">
        <v>4.6500000000000004</v>
      </c>
      <c r="H89" s="3">
        <v>69.75</v>
      </c>
      <c r="I89" t="s">
        <v>38</v>
      </c>
      <c r="J89" t="e">
        <f t="shared" si="1"/>
        <v>#VALUE!</v>
      </c>
    </row>
    <row r="90" spans="1:10" x14ac:dyDescent="0.35">
      <c r="A90">
        <v>192</v>
      </c>
      <c r="B90" s="2">
        <v>45891</v>
      </c>
      <c r="C90" t="s">
        <v>33</v>
      </c>
      <c r="D90" t="s">
        <v>20</v>
      </c>
      <c r="E90" t="s">
        <v>11</v>
      </c>
      <c r="F90">
        <v>32</v>
      </c>
      <c r="G90" s="3">
        <v>5.92</v>
      </c>
      <c r="H90" s="3">
        <v>189.44</v>
      </c>
      <c r="I90" t="s">
        <v>38</v>
      </c>
      <c r="J90" t="e">
        <f t="shared" si="1"/>
        <v>#VALUE!</v>
      </c>
    </row>
    <row r="91" spans="1:10" x14ac:dyDescent="0.35">
      <c r="A91">
        <v>542</v>
      </c>
      <c r="B91" s="2">
        <v>45891</v>
      </c>
      <c r="C91" t="s">
        <v>33</v>
      </c>
      <c r="D91" t="s">
        <v>20</v>
      </c>
      <c r="E91" t="s">
        <v>11</v>
      </c>
      <c r="F91">
        <v>41</v>
      </c>
      <c r="G91" s="3">
        <v>5.68</v>
      </c>
      <c r="H91" s="3">
        <v>232.88</v>
      </c>
      <c r="I91" t="s">
        <v>38</v>
      </c>
      <c r="J91" t="e">
        <f t="shared" si="1"/>
        <v>#VALUE!</v>
      </c>
    </row>
    <row r="92" spans="1:10" x14ac:dyDescent="0.35">
      <c r="A92">
        <v>10</v>
      </c>
      <c r="B92" s="2">
        <v>45892</v>
      </c>
      <c r="C92" t="s">
        <v>16</v>
      </c>
      <c r="D92" t="s">
        <v>17</v>
      </c>
      <c r="E92" t="s">
        <v>15</v>
      </c>
      <c r="F92">
        <v>47</v>
      </c>
      <c r="G92" s="3">
        <v>2.1</v>
      </c>
      <c r="H92" s="3">
        <v>98.7</v>
      </c>
      <c r="I92" t="s">
        <v>38</v>
      </c>
      <c r="J92" t="e">
        <f t="shared" si="1"/>
        <v>#VALUE!</v>
      </c>
    </row>
    <row r="93" spans="1:10" x14ac:dyDescent="0.35">
      <c r="A93">
        <v>183</v>
      </c>
      <c r="B93" s="2">
        <v>45893</v>
      </c>
      <c r="C93" t="s">
        <v>34</v>
      </c>
      <c r="D93" t="s">
        <v>10</v>
      </c>
      <c r="E93" t="s">
        <v>15</v>
      </c>
      <c r="F93">
        <v>64</v>
      </c>
      <c r="G93" s="3">
        <v>4.07</v>
      </c>
      <c r="H93" s="3">
        <v>260.48</v>
      </c>
      <c r="I93" t="s">
        <v>38</v>
      </c>
      <c r="J93" t="e">
        <f t="shared" si="1"/>
        <v>#VALUE!</v>
      </c>
    </row>
    <row r="94" spans="1:10" x14ac:dyDescent="0.35">
      <c r="A94">
        <v>361</v>
      </c>
      <c r="B94" s="2">
        <v>45894</v>
      </c>
      <c r="C94" t="s">
        <v>37</v>
      </c>
      <c r="D94" t="s">
        <v>27</v>
      </c>
      <c r="E94" t="s">
        <v>11</v>
      </c>
      <c r="F94">
        <v>34</v>
      </c>
      <c r="G94" s="3">
        <v>7.73</v>
      </c>
      <c r="H94" s="3">
        <v>262.82</v>
      </c>
      <c r="I94" t="s">
        <v>38</v>
      </c>
      <c r="J94" t="e">
        <f t="shared" si="1"/>
        <v>#VALUE!</v>
      </c>
    </row>
    <row r="95" spans="1:10" x14ac:dyDescent="0.35">
      <c r="A95">
        <v>253</v>
      </c>
      <c r="B95" s="2">
        <v>45896</v>
      </c>
      <c r="C95" t="s">
        <v>13</v>
      </c>
      <c r="D95" t="s">
        <v>14</v>
      </c>
      <c r="E95" t="s">
        <v>15</v>
      </c>
      <c r="F95">
        <v>32</v>
      </c>
      <c r="G95" s="3">
        <v>1.9</v>
      </c>
      <c r="H95" s="3">
        <v>60.8</v>
      </c>
      <c r="I95" t="s">
        <v>38</v>
      </c>
      <c r="J95" t="e">
        <f t="shared" si="1"/>
        <v>#VALUE!</v>
      </c>
    </row>
    <row r="96" spans="1:10" x14ac:dyDescent="0.35">
      <c r="A96">
        <v>434</v>
      </c>
      <c r="B96" s="2">
        <v>45896</v>
      </c>
      <c r="C96" t="s">
        <v>28</v>
      </c>
      <c r="D96" t="s">
        <v>20</v>
      </c>
      <c r="E96" t="s">
        <v>15</v>
      </c>
      <c r="F96">
        <v>64</v>
      </c>
      <c r="G96" s="3">
        <v>2.4</v>
      </c>
      <c r="H96" s="3">
        <v>153.6</v>
      </c>
      <c r="I96" t="s">
        <v>38</v>
      </c>
      <c r="J96" t="e">
        <f t="shared" si="1"/>
        <v>#VALUE!</v>
      </c>
    </row>
    <row r="97" spans="1:10" x14ac:dyDescent="0.35">
      <c r="A97">
        <v>296</v>
      </c>
      <c r="B97" s="2">
        <v>45897</v>
      </c>
      <c r="C97" t="s">
        <v>32</v>
      </c>
      <c r="D97" t="s">
        <v>20</v>
      </c>
      <c r="E97" t="s">
        <v>11</v>
      </c>
      <c r="F97">
        <v>56</v>
      </c>
      <c r="G97" s="3">
        <v>3.28</v>
      </c>
      <c r="H97" s="3">
        <v>183.68</v>
      </c>
      <c r="I97" t="s">
        <v>38</v>
      </c>
      <c r="J97" t="e">
        <f t="shared" si="1"/>
        <v>#VALUE!</v>
      </c>
    </row>
    <row r="98" spans="1:10" x14ac:dyDescent="0.35">
      <c r="A98">
        <v>589</v>
      </c>
      <c r="B98" s="2">
        <v>45897</v>
      </c>
      <c r="C98" t="s">
        <v>25</v>
      </c>
      <c r="D98" t="s">
        <v>17</v>
      </c>
      <c r="E98" t="s">
        <v>15</v>
      </c>
      <c r="F98">
        <v>64</v>
      </c>
      <c r="G98" s="3">
        <v>2.15</v>
      </c>
      <c r="H98" s="3">
        <v>137.6</v>
      </c>
      <c r="I98" t="s">
        <v>38</v>
      </c>
      <c r="J98" t="e">
        <f t="shared" si="1"/>
        <v>#VALUE!</v>
      </c>
    </row>
    <row r="99" spans="1:10" x14ac:dyDescent="0.35">
      <c r="A99">
        <v>249</v>
      </c>
      <c r="B99" s="2">
        <v>45898</v>
      </c>
      <c r="C99" t="s">
        <v>26</v>
      </c>
      <c r="D99" t="s">
        <v>27</v>
      </c>
      <c r="E99" t="s">
        <v>15</v>
      </c>
      <c r="F99">
        <v>46</v>
      </c>
      <c r="G99" s="3">
        <v>2.4700000000000002</v>
      </c>
      <c r="H99" s="3">
        <v>113.62</v>
      </c>
      <c r="I99" t="s">
        <v>38</v>
      </c>
      <c r="J99" t="e">
        <f t="shared" si="1"/>
        <v>#VALUE!</v>
      </c>
    </row>
    <row r="100" spans="1:10" x14ac:dyDescent="0.35">
      <c r="A100">
        <v>449</v>
      </c>
      <c r="B100" s="2">
        <v>45898</v>
      </c>
      <c r="C100" t="s">
        <v>37</v>
      </c>
      <c r="D100" t="s">
        <v>27</v>
      </c>
      <c r="E100" t="s">
        <v>11</v>
      </c>
      <c r="F100">
        <v>49</v>
      </c>
      <c r="G100" s="3">
        <v>7.93</v>
      </c>
      <c r="H100" s="3">
        <v>388.57</v>
      </c>
      <c r="I100" t="s">
        <v>38</v>
      </c>
      <c r="J100" t="e">
        <f t="shared" si="1"/>
        <v>#VALUE!</v>
      </c>
    </row>
    <row r="101" spans="1:10" x14ac:dyDescent="0.35">
      <c r="A101">
        <v>125</v>
      </c>
      <c r="B101" s="2">
        <v>45899</v>
      </c>
      <c r="C101" t="s">
        <v>28</v>
      </c>
      <c r="D101" t="s">
        <v>20</v>
      </c>
      <c r="E101" t="s">
        <v>15</v>
      </c>
      <c r="F101">
        <v>45</v>
      </c>
      <c r="G101" s="3">
        <v>2.4300000000000002</v>
      </c>
      <c r="H101" s="3">
        <v>109.35</v>
      </c>
      <c r="I101" t="s">
        <v>38</v>
      </c>
      <c r="J101" t="e">
        <f t="shared" si="1"/>
        <v>#VALUE!</v>
      </c>
    </row>
    <row r="102" spans="1:10" x14ac:dyDescent="0.35">
      <c r="A102">
        <v>226</v>
      </c>
      <c r="B102" s="2">
        <v>45899</v>
      </c>
      <c r="C102" t="s">
        <v>32</v>
      </c>
      <c r="D102" t="s">
        <v>20</v>
      </c>
      <c r="E102" t="s">
        <v>11</v>
      </c>
      <c r="F102">
        <v>57</v>
      </c>
      <c r="G102" s="3">
        <v>3.21</v>
      </c>
      <c r="H102" s="3">
        <v>182.97</v>
      </c>
      <c r="I102" t="s">
        <v>38</v>
      </c>
      <c r="J102" t="e">
        <f t="shared" si="1"/>
        <v>#VALUE!</v>
      </c>
    </row>
    <row r="103" spans="1:10" x14ac:dyDescent="0.35">
      <c r="A103">
        <v>16</v>
      </c>
      <c r="B103" s="2">
        <v>45900</v>
      </c>
      <c r="C103" t="s">
        <v>35</v>
      </c>
      <c r="D103" t="s">
        <v>17</v>
      </c>
      <c r="E103" t="s">
        <v>11</v>
      </c>
      <c r="F103">
        <v>42</v>
      </c>
      <c r="G103" s="3">
        <v>5.68</v>
      </c>
      <c r="H103" s="3">
        <v>238.56</v>
      </c>
      <c r="I103" t="s">
        <v>38</v>
      </c>
      <c r="J103" t="e">
        <f t="shared" si="1"/>
        <v>#VALUE!</v>
      </c>
    </row>
    <row r="104" spans="1:10" x14ac:dyDescent="0.35">
      <c r="A104">
        <v>156</v>
      </c>
      <c r="B104" s="2">
        <v>45901</v>
      </c>
      <c r="C104" t="s">
        <v>16</v>
      </c>
      <c r="D104" t="s">
        <v>17</v>
      </c>
      <c r="E104" t="s">
        <v>15</v>
      </c>
      <c r="F104">
        <v>69</v>
      </c>
      <c r="G104" s="3">
        <v>2.19</v>
      </c>
      <c r="H104" s="3">
        <v>151.11000000000001</v>
      </c>
      <c r="I104" t="s">
        <v>39</v>
      </c>
      <c r="J104" t="e">
        <f t="shared" si="1"/>
        <v>#VALUE!</v>
      </c>
    </row>
    <row r="105" spans="1:10" x14ac:dyDescent="0.35">
      <c r="A105">
        <v>444</v>
      </c>
      <c r="B105" s="2">
        <v>45901</v>
      </c>
      <c r="C105" t="s">
        <v>37</v>
      </c>
      <c r="D105" t="s">
        <v>27</v>
      </c>
      <c r="E105" t="s">
        <v>11</v>
      </c>
      <c r="F105">
        <v>70</v>
      </c>
      <c r="G105" s="3">
        <v>8.2899999999999991</v>
      </c>
      <c r="H105" s="3">
        <v>580.29999999999995</v>
      </c>
      <c r="I105" t="s">
        <v>39</v>
      </c>
      <c r="J105" t="e">
        <f t="shared" si="1"/>
        <v>#VALUE!</v>
      </c>
    </row>
    <row r="106" spans="1:10" x14ac:dyDescent="0.35">
      <c r="A106">
        <v>368</v>
      </c>
      <c r="B106" s="2">
        <v>45903</v>
      </c>
      <c r="C106" t="s">
        <v>28</v>
      </c>
      <c r="D106" t="s">
        <v>20</v>
      </c>
      <c r="E106" t="s">
        <v>15</v>
      </c>
      <c r="F106">
        <v>62</v>
      </c>
      <c r="G106" s="3">
        <v>2.4500000000000002</v>
      </c>
      <c r="H106" s="3">
        <v>151.9</v>
      </c>
      <c r="I106" t="s">
        <v>39</v>
      </c>
      <c r="J106" t="e">
        <f t="shared" si="1"/>
        <v>#VALUE!</v>
      </c>
    </row>
    <row r="107" spans="1:10" x14ac:dyDescent="0.35">
      <c r="A107">
        <v>429</v>
      </c>
      <c r="B107" s="2">
        <v>45903</v>
      </c>
      <c r="C107" t="s">
        <v>19</v>
      </c>
      <c r="D107" t="s">
        <v>20</v>
      </c>
      <c r="E107" t="s">
        <v>15</v>
      </c>
      <c r="F107">
        <v>46</v>
      </c>
      <c r="G107" s="3">
        <v>3.01</v>
      </c>
      <c r="H107" s="3">
        <v>138.46</v>
      </c>
      <c r="I107" t="s">
        <v>39</v>
      </c>
      <c r="J107" t="e">
        <f t="shared" si="1"/>
        <v>#VALUE!</v>
      </c>
    </row>
    <row r="108" spans="1:10" x14ac:dyDescent="0.35">
      <c r="A108">
        <v>67</v>
      </c>
      <c r="B108" s="2">
        <v>45907</v>
      </c>
      <c r="C108" t="s">
        <v>13</v>
      </c>
      <c r="D108" t="s">
        <v>14</v>
      </c>
      <c r="E108" t="s">
        <v>15</v>
      </c>
      <c r="F108">
        <v>77</v>
      </c>
      <c r="G108" s="3">
        <v>1.71</v>
      </c>
      <c r="H108" s="3">
        <v>131.66999999999999</v>
      </c>
      <c r="I108" t="s">
        <v>39</v>
      </c>
      <c r="J108" t="e">
        <f t="shared" si="1"/>
        <v>#VALUE!</v>
      </c>
    </row>
    <row r="109" spans="1:10" x14ac:dyDescent="0.35">
      <c r="A109">
        <v>306</v>
      </c>
      <c r="B109" s="2">
        <v>45907</v>
      </c>
      <c r="C109" t="s">
        <v>32</v>
      </c>
      <c r="D109" t="s">
        <v>20</v>
      </c>
      <c r="E109" t="s">
        <v>11</v>
      </c>
      <c r="F109">
        <v>24</v>
      </c>
      <c r="G109" s="3">
        <v>3.31</v>
      </c>
      <c r="H109" s="3">
        <v>79.44</v>
      </c>
      <c r="I109" t="s">
        <v>39</v>
      </c>
      <c r="J109" t="e">
        <f t="shared" si="1"/>
        <v>#VALUE!</v>
      </c>
    </row>
    <row r="110" spans="1:10" x14ac:dyDescent="0.35">
      <c r="A110">
        <v>376</v>
      </c>
      <c r="B110" s="2">
        <v>45907</v>
      </c>
      <c r="C110" t="s">
        <v>21</v>
      </c>
      <c r="D110" t="s">
        <v>22</v>
      </c>
      <c r="E110" t="s">
        <v>11</v>
      </c>
      <c r="F110">
        <v>62</v>
      </c>
      <c r="G110" s="3">
        <v>5.19</v>
      </c>
      <c r="H110" s="3">
        <v>321.77999999999997</v>
      </c>
      <c r="I110" t="s">
        <v>39</v>
      </c>
      <c r="J110" t="e">
        <f t="shared" si="1"/>
        <v>#VALUE!</v>
      </c>
    </row>
    <row r="111" spans="1:10" x14ac:dyDescent="0.35">
      <c r="A111">
        <v>586</v>
      </c>
      <c r="B111" s="2">
        <v>45908</v>
      </c>
      <c r="C111" t="s">
        <v>33</v>
      </c>
      <c r="D111" t="s">
        <v>20</v>
      </c>
      <c r="E111" t="s">
        <v>11</v>
      </c>
      <c r="F111">
        <v>51</v>
      </c>
      <c r="G111" s="3">
        <v>5.91</v>
      </c>
      <c r="H111" s="3">
        <v>301.41000000000003</v>
      </c>
      <c r="I111" t="s">
        <v>39</v>
      </c>
      <c r="J111" t="e">
        <f t="shared" si="1"/>
        <v>#VALUE!</v>
      </c>
    </row>
    <row r="112" spans="1:10" x14ac:dyDescent="0.35">
      <c r="A112">
        <v>207</v>
      </c>
      <c r="B112" s="2">
        <v>45911</v>
      </c>
      <c r="C112" t="s">
        <v>36</v>
      </c>
      <c r="D112" t="s">
        <v>14</v>
      </c>
      <c r="E112" t="s">
        <v>15</v>
      </c>
      <c r="F112">
        <v>84</v>
      </c>
      <c r="G112" s="3">
        <v>2.2599999999999998</v>
      </c>
      <c r="H112" s="3">
        <v>189.84</v>
      </c>
      <c r="I112" t="s">
        <v>39</v>
      </c>
      <c r="J112" t="e">
        <f t="shared" si="1"/>
        <v>#VALUE!</v>
      </c>
    </row>
    <row r="113" spans="1:10" x14ac:dyDescent="0.35">
      <c r="A113">
        <v>225</v>
      </c>
      <c r="B113" s="2">
        <v>45911</v>
      </c>
      <c r="C113" t="s">
        <v>36</v>
      </c>
      <c r="D113" t="s">
        <v>14</v>
      </c>
      <c r="E113" t="s">
        <v>15</v>
      </c>
      <c r="F113">
        <v>35</v>
      </c>
      <c r="G113" s="3">
        <v>2.36</v>
      </c>
      <c r="H113" s="3">
        <v>82.6</v>
      </c>
      <c r="I113" t="s">
        <v>39</v>
      </c>
      <c r="J113" t="e">
        <f t="shared" si="1"/>
        <v>#VALUE!</v>
      </c>
    </row>
    <row r="114" spans="1:10" x14ac:dyDescent="0.35">
      <c r="A114">
        <v>337</v>
      </c>
      <c r="B114" s="2">
        <v>45911</v>
      </c>
      <c r="C114" t="s">
        <v>36</v>
      </c>
      <c r="D114" t="s">
        <v>14</v>
      </c>
      <c r="E114" t="s">
        <v>15</v>
      </c>
      <c r="F114">
        <v>75</v>
      </c>
      <c r="G114" s="3">
        <v>2.2200000000000002</v>
      </c>
      <c r="H114" s="3">
        <v>166.5</v>
      </c>
      <c r="I114" t="s">
        <v>39</v>
      </c>
      <c r="J114" t="e">
        <f t="shared" si="1"/>
        <v>#VALUE!</v>
      </c>
    </row>
    <row r="115" spans="1:10" x14ac:dyDescent="0.35">
      <c r="A115">
        <v>353</v>
      </c>
      <c r="B115" s="2">
        <v>45911</v>
      </c>
      <c r="C115" t="s">
        <v>31</v>
      </c>
      <c r="D115" t="s">
        <v>14</v>
      </c>
      <c r="E115" t="s">
        <v>11</v>
      </c>
      <c r="F115">
        <v>54</v>
      </c>
      <c r="G115" s="3">
        <v>6.47</v>
      </c>
      <c r="H115" s="3">
        <v>349.38</v>
      </c>
      <c r="I115" t="s">
        <v>39</v>
      </c>
      <c r="J115" t="e">
        <f t="shared" si="1"/>
        <v>#VALUE!</v>
      </c>
    </row>
    <row r="116" spans="1:10" x14ac:dyDescent="0.35">
      <c r="A116">
        <v>500</v>
      </c>
      <c r="B116" s="2">
        <v>45911</v>
      </c>
      <c r="C116" t="s">
        <v>34</v>
      </c>
      <c r="D116" t="s">
        <v>10</v>
      </c>
      <c r="E116" t="s">
        <v>15</v>
      </c>
      <c r="F116">
        <v>86</v>
      </c>
      <c r="G116" s="3">
        <v>4.03</v>
      </c>
      <c r="H116" s="3">
        <v>346.58</v>
      </c>
      <c r="I116" t="s">
        <v>39</v>
      </c>
      <c r="J116" t="e">
        <f t="shared" si="1"/>
        <v>#VALUE!</v>
      </c>
    </row>
    <row r="117" spans="1:10" x14ac:dyDescent="0.35">
      <c r="A117">
        <v>248</v>
      </c>
      <c r="B117" s="2">
        <v>45912</v>
      </c>
      <c r="C117" t="s">
        <v>37</v>
      </c>
      <c r="D117" t="s">
        <v>27</v>
      </c>
      <c r="E117" t="s">
        <v>11</v>
      </c>
      <c r="F117">
        <v>48</v>
      </c>
      <c r="G117" s="3">
        <v>7.96</v>
      </c>
      <c r="H117" s="3">
        <v>382.08</v>
      </c>
      <c r="I117" t="s">
        <v>39</v>
      </c>
      <c r="J117" t="e">
        <f t="shared" si="1"/>
        <v>#VALUE!</v>
      </c>
    </row>
    <row r="118" spans="1:10" x14ac:dyDescent="0.35">
      <c r="A118">
        <v>565</v>
      </c>
      <c r="B118" s="2">
        <v>45912</v>
      </c>
      <c r="C118" t="s">
        <v>13</v>
      </c>
      <c r="D118" t="s">
        <v>14</v>
      </c>
      <c r="E118" t="s">
        <v>15</v>
      </c>
      <c r="F118">
        <v>58</v>
      </c>
      <c r="G118" s="3">
        <v>1.72</v>
      </c>
      <c r="H118" s="3">
        <v>99.76</v>
      </c>
      <c r="I118" t="s">
        <v>39</v>
      </c>
      <c r="J118" t="e">
        <f t="shared" si="1"/>
        <v>#VALUE!</v>
      </c>
    </row>
    <row r="119" spans="1:10" x14ac:dyDescent="0.35">
      <c r="A119">
        <v>592</v>
      </c>
      <c r="B119" s="2">
        <v>45912</v>
      </c>
      <c r="C119" t="s">
        <v>36</v>
      </c>
      <c r="D119" t="s">
        <v>14</v>
      </c>
      <c r="E119" t="s">
        <v>15</v>
      </c>
      <c r="F119">
        <v>62</v>
      </c>
      <c r="G119" s="3">
        <v>2.35</v>
      </c>
      <c r="H119" s="3">
        <v>145.69999999999999</v>
      </c>
      <c r="I119" t="s">
        <v>39</v>
      </c>
      <c r="J119" t="e">
        <f t="shared" si="1"/>
        <v>#VALUE!</v>
      </c>
    </row>
    <row r="120" spans="1:10" x14ac:dyDescent="0.35">
      <c r="A120">
        <v>502</v>
      </c>
      <c r="B120" s="2">
        <v>45913</v>
      </c>
      <c r="C120" t="s">
        <v>28</v>
      </c>
      <c r="D120" t="s">
        <v>20</v>
      </c>
      <c r="E120" t="s">
        <v>15</v>
      </c>
      <c r="F120">
        <v>63</v>
      </c>
      <c r="G120" s="3">
        <v>2.5</v>
      </c>
      <c r="H120" s="3">
        <v>157.5</v>
      </c>
      <c r="I120" t="s">
        <v>39</v>
      </c>
      <c r="J120" t="e">
        <f t="shared" si="1"/>
        <v>#VALUE!</v>
      </c>
    </row>
    <row r="121" spans="1:10" x14ac:dyDescent="0.35">
      <c r="A121">
        <v>266</v>
      </c>
      <c r="B121" s="2">
        <v>45914</v>
      </c>
      <c r="C121" t="s">
        <v>32</v>
      </c>
      <c r="D121" t="s">
        <v>20</v>
      </c>
      <c r="E121" t="s">
        <v>11</v>
      </c>
      <c r="F121">
        <v>60</v>
      </c>
      <c r="G121" s="3">
        <v>3.25</v>
      </c>
      <c r="H121" s="3">
        <v>195</v>
      </c>
      <c r="I121" t="s">
        <v>39</v>
      </c>
      <c r="J121" t="e">
        <f t="shared" si="1"/>
        <v>#VALUE!</v>
      </c>
    </row>
    <row r="122" spans="1:10" x14ac:dyDescent="0.35">
      <c r="A122">
        <v>477</v>
      </c>
      <c r="B122" s="2">
        <v>45914</v>
      </c>
      <c r="C122" t="s">
        <v>37</v>
      </c>
      <c r="D122" t="s">
        <v>27</v>
      </c>
      <c r="E122" t="s">
        <v>11</v>
      </c>
      <c r="F122">
        <v>28</v>
      </c>
      <c r="G122" s="3">
        <v>8.09</v>
      </c>
      <c r="H122" s="3">
        <v>226.52</v>
      </c>
      <c r="I122" t="s">
        <v>39</v>
      </c>
      <c r="J122" t="e">
        <f t="shared" si="1"/>
        <v>#VALUE!</v>
      </c>
    </row>
    <row r="123" spans="1:10" x14ac:dyDescent="0.35">
      <c r="A123">
        <v>268</v>
      </c>
      <c r="B123" s="2">
        <v>45915</v>
      </c>
      <c r="C123" t="s">
        <v>36</v>
      </c>
      <c r="D123" t="s">
        <v>14</v>
      </c>
      <c r="E123" t="s">
        <v>15</v>
      </c>
      <c r="F123">
        <v>40</v>
      </c>
      <c r="G123" s="3">
        <v>2.1800000000000002</v>
      </c>
      <c r="H123" s="3">
        <v>87.2</v>
      </c>
      <c r="I123" t="s">
        <v>39</v>
      </c>
      <c r="J123" t="e">
        <f t="shared" si="1"/>
        <v>#VALUE!</v>
      </c>
    </row>
    <row r="124" spans="1:10" x14ac:dyDescent="0.35">
      <c r="A124">
        <v>181</v>
      </c>
      <c r="B124" s="2">
        <v>45916</v>
      </c>
      <c r="C124" t="s">
        <v>29</v>
      </c>
      <c r="D124" t="s">
        <v>22</v>
      </c>
      <c r="E124" t="s">
        <v>15</v>
      </c>
      <c r="F124">
        <v>7</v>
      </c>
      <c r="G124" s="3">
        <v>1.5</v>
      </c>
      <c r="H124" s="3">
        <v>10.5</v>
      </c>
      <c r="I124" t="s">
        <v>39</v>
      </c>
      <c r="J124" t="e">
        <f t="shared" si="1"/>
        <v>#VALUE!</v>
      </c>
    </row>
    <row r="125" spans="1:10" x14ac:dyDescent="0.35">
      <c r="A125">
        <v>100</v>
      </c>
      <c r="B125" s="2">
        <v>45918</v>
      </c>
      <c r="C125" t="s">
        <v>26</v>
      </c>
      <c r="D125" t="s">
        <v>27</v>
      </c>
      <c r="E125" t="s">
        <v>15</v>
      </c>
      <c r="F125">
        <v>62</v>
      </c>
      <c r="G125" s="3">
        <v>2.46</v>
      </c>
      <c r="H125" s="3">
        <v>152.52000000000001</v>
      </c>
      <c r="I125" t="s">
        <v>39</v>
      </c>
      <c r="J125" t="e">
        <f t="shared" si="1"/>
        <v>#VALUE!</v>
      </c>
    </row>
    <row r="126" spans="1:10" x14ac:dyDescent="0.35">
      <c r="A126">
        <v>290</v>
      </c>
      <c r="B126" s="2">
        <v>45918</v>
      </c>
      <c r="C126" t="s">
        <v>29</v>
      </c>
      <c r="D126" t="s">
        <v>22</v>
      </c>
      <c r="E126" t="s">
        <v>15</v>
      </c>
      <c r="F126">
        <v>49</v>
      </c>
      <c r="G126" s="3">
        <v>1.56</v>
      </c>
      <c r="H126" s="3">
        <v>76.44</v>
      </c>
      <c r="I126" t="s">
        <v>39</v>
      </c>
      <c r="J126" t="e">
        <f t="shared" si="1"/>
        <v>#VALUE!</v>
      </c>
    </row>
    <row r="127" spans="1:10" x14ac:dyDescent="0.35">
      <c r="A127">
        <v>28</v>
      </c>
      <c r="B127" s="2">
        <v>45919</v>
      </c>
      <c r="C127" t="s">
        <v>37</v>
      </c>
      <c r="D127" t="s">
        <v>27</v>
      </c>
      <c r="E127" t="s">
        <v>11</v>
      </c>
      <c r="F127">
        <v>44</v>
      </c>
      <c r="G127" s="3">
        <v>8.0299999999999994</v>
      </c>
      <c r="H127" s="3">
        <v>353.32</v>
      </c>
      <c r="I127" t="s">
        <v>39</v>
      </c>
      <c r="J127" t="e">
        <f t="shared" si="1"/>
        <v>#VALUE!</v>
      </c>
    </row>
    <row r="128" spans="1:10" x14ac:dyDescent="0.35">
      <c r="A128">
        <v>238</v>
      </c>
      <c r="B128" s="2">
        <v>45919</v>
      </c>
      <c r="C128" t="s">
        <v>29</v>
      </c>
      <c r="D128" t="s">
        <v>22</v>
      </c>
      <c r="E128" t="s">
        <v>15</v>
      </c>
      <c r="F128">
        <v>35</v>
      </c>
      <c r="G128" s="3">
        <v>1.52</v>
      </c>
      <c r="H128" s="3">
        <v>53.2</v>
      </c>
      <c r="I128" t="s">
        <v>39</v>
      </c>
      <c r="J128" t="e">
        <f t="shared" si="1"/>
        <v>#VALUE!</v>
      </c>
    </row>
    <row r="129" spans="1:10" x14ac:dyDescent="0.35">
      <c r="A129">
        <v>245</v>
      </c>
      <c r="B129" s="2">
        <v>45920</v>
      </c>
      <c r="C129" t="s">
        <v>16</v>
      </c>
      <c r="D129" t="s">
        <v>17</v>
      </c>
      <c r="E129" t="s">
        <v>15</v>
      </c>
      <c r="F129">
        <v>40</v>
      </c>
      <c r="G129" s="3">
        <v>2.15</v>
      </c>
      <c r="H129" s="3">
        <v>86</v>
      </c>
      <c r="I129" t="s">
        <v>39</v>
      </c>
      <c r="J129" t="e">
        <f t="shared" si="1"/>
        <v>#VALUE!</v>
      </c>
    </row>
    <row r="130" spans="1:10" x14ac:dyDescent="0.35">
      <c r="A130">
        <v>113</v>
      </c>
      <c r="B130" s="2">
        <v>45921</v>
      </c>
      <c r="C130" t="s">
        <v>13</v>
      </c>
      <c r="D130" t="s">
        <v>14</v>
      </c>
      <c r="E130" t="s">
        <v>15</v>
      </c>
      <c r="F130">
        <v>43</v>
      </c>
      <c r="G130" s="3">
        <v>1.77</v>
      </c>
      <c r="H130" s="3">
        <v>76.11</v>
      </c>
      <c r="I130" t="s">
        <v>39</v>
      </c>
      <c r="J130" t="e">
        <f t="shared" ref="J130:J193" si="2">(I131-I130)/I130</f>
        <v>#VALUE!</v>
      </c>
    </row>
    <row r="131" spans="1:10" x14ac:dyDescent="0.35">
      <c r="A131">
        <v>463</v>
      </c>
      <c r="B131" s="2">
        <v>45921</v>
      </c>
      <c r="C131" t="s">
        <v>9</v>
      </c>
      <c r="D131" t="s">
        <v>10</v>
      </c>
      <c r="E131" t="s">
        <v>11</v>
      </c>
      <c r="F131">
        <v>58</v>
      </c>
      <c r="G131" s="3">
        <v>11.43</v>
      </c>
      <c r="H131" s="3">
        <v>662.94</v>
      </c>
      <c r="I131" t="s">
        <v>39</v>
      </c>
      <c r="J131" t="e">
        <f t="shared" si="2"/>
        <v>#VALUE!</v>
      </c>
    </row>
    <row r="132" spans="1:10" x14ac:dyDescent="0.35">
      <c r="A132">
        <v>255</v>
      </c>
      <c r="B132" s="2">
        <v>45922</v>
      </c>
      <c r="C132" t="s">
        <v>13</v>
      </c>
      <c r="D132" t="s">
        <v>14</v>
      </c>
      <c r="E132" t="s">
        <v>15</v>
      </c>
      <c r="F132">
        <v>66</v>
      </c>
      <c r="G132" s="3">
        <v>1.81</v>
      </c>
      <c r="H132" s="3">
        <v>119.46</v>
      </c>
      <c r="I132" t="s">
        <v>39</v>
      </c>
      <c r="J132" t="e">
        <f t="shared" si="2"/>
        <v>#VALUE!</v>
      </c>
    </row>
    <row r="133" spans="1:10" x14ac:dyDescent="0.35">
      <c r="A133">
        <v>256</v>
      </c>
      <c r="B133" s="2">
        <v>45922</v>
      </c>
      <c r="C133" t="s">
        <v>34</v>
      </c>
      <c r="D133" t="s">
        <v>10</v>
      </c>
      <c r="E133" t="s">
        <v>15</v>
      </c>
      <c r="F133">
        <v>53</v>
      </c>
      <c r="G133" s="3">
        <v>4.03</v>
      </c>
      <c r="H133" s="3">
        <v>213.59</v>
      </c>
      <c r="I133" t="s">
        <v>39</v>
      </c>
      <c r="J133" t="e">
        <f t="shared" si="2"/>
        <v>#VALUE!</v>
      </c>
    </row>
    <row r="134" spans="1:10" x14ac:dyDescent="0.35">
      <c r="A134">
        <v>496</v>
      </c>
      <c r="B134" s="2">
        <v>45922</v>
      </c>
      <c r="C134" t="s">
        <v>32</v>
      </c>
      <c r="D134" t="s">
        <v>20</v>
      </c>
      <c r="E134" t="s">
        <v>11</v>
      </c>
      <c r="F134">
        <v>58</v>
      </c>
      <c r="G134" s="3">
        <v>3.42</v>
      </c>
      <c r="H134" s="3">
        <v>198.36</v>
      </c>
      <c r="I134" t="s">
        <v>39</v>
      </c>
      <c r="J134" t="e">
        <f t="shared" si="2"/>
        <v>#VALUE!</v>
      </c>
    </row>
    <row r="135" spans="1:10" x14ac:dyDescent="0.35">
      <c r="A135">
        <v>580</v>
      </c>
      <c r="B135" s="2">
        <v>45922</v>
      </c>
      <c r="C135" t="s">
        <v>33</v>
      </c>
      <c r="D135" t="s">
        <v>20</v>
      </c>
      <c r="E135" t="s">
        <v>11</v>
      </c>
      <c r="F135">
        <v>65</v>
      </c>
      <c r="G135" s="3">
        <v>5.26</v>
      </c>
      <c r="H135" s="3">
        <v>341.9</v>
      </c>
      <c r="I135" t="s">
        <v>39</v>
      </c>
      <c r="J135" t="e">
        <f t="shared" si="2"/>
        <v>#VALUE!</v>
      </c>
    </row>
    <row r="136" spans="1:10" x14ac:dyDescent="0.35">
      <c r="A136">
        <v>438</v>
      </c>
      <c r="B136" s="2">
        <v>45923</v>
      </c>
      <c r="C136" t="s">
        <v>24</v>
      </c>
      <c r="D136" t="s">
        <v>10</v>
      </c>
      <c r="E136" t="s">
        <v>11</v>
      </c>
      <c r="F136">
        <v>32</v>
      </c>
      <c r="G136" s="3">
        <v>15.02</v>
      </c>
      <c r="H136" s="3">
        <v>480.64</v>
      </c>
      <c r="I136" t="s">
        <v>39</v>
      </c>
      <c r="J136" t="e">
        <f t="shared" si="2"/>
        <v>#VALUE!</v>
      </c>
    </row>
    <row r="137" spans="1:10" x14ac:dyDescent="0.35">
      <c r="A137">
        <v>267</v>
      </c>
      <c r="B137" s="2">
        <v>45924</v>
      </c>
      <c r="C137" t="s">
        <v>30</v>
      </c>
      <c r="D137" t="s">
        <v>14</v>
      </c>
      <c r="E137" t="s">
        <v>11</v>
      </c>
      <c r="F137">
        <v>46</v>
      </c>
      <c r="G137" s="3">
        <v>4.79</v>
      </c>
      <c r="H137" s="3">
        <v>220.34</v>
      </c>
      <c r="I137" t="s">
        <v>39</v>
      </c>
      <c r="J137" t="e">
        <f t="shared" si="2"/>
        <v>#VALUE!</v>
      </c>
    </row>
    <row r="138" spans="1:10" x14ac:dyDescent="0.35">
      <c r="A138">
        <v>302</v>
      </c>
      <c r="B138" s="2">
        <v>45924</v>
      </c>
      <c r="C138" t="s">
        <v>25</v>
      </c>
      <c r="D138" t="s">
        <v>17</v>
      </c>
      <c r="E138" t="s">
        <v>15</v>
      </c>
      <c r="F138">
        <v>63</v>
      </c>
      <c r="G138" s="3">
        <v>2.12</v>
      </c>
      <c r="H138" s="3">
        <v>133.56</v>
      </c>
      <c r="I138" t="s">
        <v>39</v>
      </c>
      <c r="J138" t="e">
        <f t="shared" si="2"/>
        <v>#VALUE!</v>
      </c>
    </row>
    <row r="139" spans="1:10" x14ac:dyDescent="0.35">
      <c r="A139">
        <v>366</v>
      </c>
      <c r="B139" s="2">
        <v>45924</v>
      </c>
      <c r="C139" t="s">
        <v>28</v>
      </c>
      <c r="D139" t="s">
        <v>20</v>
      </c>
      <c r="E139" t="s">
        <v>15</v>
      </c>
      <c r="F139">
        <v>49</v>
      </c>
      <c r="G139" s="3">
        <v>2.5099999999999998</v>
      </c>
      <c r="H139" s="3">
        <v>122.99</v>
      </c>
      <c r="I139" t="s">
        <v>39</v>
      </c>
      <c r="J139" t="e">
        <f t="shared" si="2"/>
        <v>#VALUE!</v>
      </c>
    </row>
    <row r="140" spans="1:10" x14ac:dyDescent="0.35">
      <c r="A140">
        <v>184</v>
      </c>
      <c r="B140" s="2">
        <v>45925</v>
      </c>
      <c r="C140" t="s">
        <v>18</v>
      </c>
      <c r="D140" t="s">
        <v>10</v>
      </c>
      <c r="E140" t="s">
        <v>15</v>
      </c>
      <c r="F140">
        <v>49</v>
      </c>
      <c r="G140" s="3">
        <v>6.02</v>
      </c>
      <c r="H140" s="3">
        <v>294.98</v>
      </c>
      <c r="I140" t="s">
        <v>39</v>
      </c>
      <c r="J140" t="e">
        <f t="shared" si="2"/>
        <v>#VALUE!</v>
      </c>
    </row>
    <row r="141" spans="1:10" x14ac:dyDescent="0.35">
      <c r="A141">
        <v>187</v>
      </c>
      <c r="B141" s="2">
        <v>45926</v>
      </c>
      <c r="C141" t="s">
        <v>16</v>
      </c>
      <c r="D141" t="s">
        <v>17</v>
      </c>
      <c r="E141" t="s">
        <v>15</v>
      </c>
      <c r="F141">
        <v>24</v>
      </c>
      <c r="G141" s="3">
        <v>2.11</v>
      </c>
      <c r="H141" s="3">
        <v>50.64</v>
      </c>
      <c r="I141" t="s">
        <v>39</v>
      </c>
      <c r="J141" t="e">
        <f t="shared" si="2"/>
        <v>#VALUE!</v>
      </c>
    </row>
    <row r="142" spans="1:10" x14ac:dyDescent="0.35">
      <c r="A142">
        <v>392</v>
      </c>
      <c r="B142" s="2">
        <v>45926</v>
      </c>
      <c r="C142" t="s">
        <v>35</v>
      </c>
      <c r="D142" t="s">
        <v>17</v>
      </c>
      <c r="E142" t="s">
        <v>11</v>
      </c>
      <c r="F142">
        <v>49</v>
      </c>
      <c r="G142" s="3">
        <v>5.61</v>
      </c>
      <c r="H142" s="3">
        <v>274.89</v>
      </c>
      <c r="I142" t="s">
        <v>39</v>
      </c>
      <c r="J142" t="e">
        <f t="shared" si="2"/>
        <v>#VALUE!</v>
      </c>
    </row>
    <row r="143" spans="1:10" x14ac:dyDescent="0.35">
      <c r="A143">
        <v>233</v>
      </c>
      <c r="B143" s="2">
        <v>45927</v>
      </c>
      <c r="C143" t="s">
        <v>9</v>
      </c>
      <c r="D143" t="s">
        <v>10</v>
      </c>
      <c r="E143" t="s">
        <v>11</v>
      </c>
      <c r="F143">
        <v>42</v>
      </c>
      <c r="G143" s="3">
        <v>12.01</v>
      </c>
      <c r="H143" s="3">
        <v>504.42</v>
      </c>
      <c r="I143" t="s">
        <v>39</v>
      </c>
      <c r="J143" t="e">
        <f t="shared" si="2"/>
        <v>#VALUE!</v>
      </c>
    </row>
    <row r="144" spans="1:10" x14ac:dyDescent="0.35">
      <c r="A144">
        <v>311</v>
      </c>
      <c r="B144" s="2">
        <v>45927</v>
      </c>
      <c r="C144" t="s">
        <v>23</v>
      </c>
      <c r="D144" t="s">
        <v>17</v>
      </c>
      <c r="E144" t="s">
        <v>11</v>
      </c>
      <c r="F144">
        <v>66</v>
      </c>
      <c r="G144" s="3">
        <v>6</v>
      </c>
      <c r="H144" s="3">
        <v>396</v>
      </c>
      <c r="I144" t="s">
        <v>39</v>
      </c>
      <c r="J144" t="e">
        <f t="shared" si="2"/>
        <v>#VALUE!</v>
      </c>
    </row>
    <row r="145" spans="1:10" x14ac:dyDescent="0.35">
      <c r="A145">
        <v>467</v>
      </c>
      <c r="B145" s="2">
        <v>45927</v>
      </c>
      <c r="C145" t="s">
        <v>16</v>
      </c>
      <c r="D145" t="s">
        <v>17</v>
      </c>
      <c r="E145" t="s">
        <v>15</v>
      </c>
      <c r="F145">
        <v>36</v>
      </c>
      <c r="G145" s="3">
        <v>2.2999999999999998</v>
      </c>
      <c r="H145" s="3">
        <v>82.8</v>
      </c>
      <c r="I145" t="s">
        <v>39</v>
      </c>
      <c r="J145" t="e">
        <f t="shared" si="2"/>
        <v>#VALUE!</v>
      </c>
    </row>
    <row r="146" spans="1:10" x14ac:dyDescent="0.35">
      <c r="A146">
        <v>78</v>
      </c>
      <c r="B146" s="2">
        <v>45928</v>
      </c>
      <c r="C146" t="s">
        <v>13</v>
      </c>
      <c r="D146" t="s">
        <v>14</v>
      </c>
      <c r="E146" t="s">
        <v>15</v>
      </c>
      <c r="F146">
        <v>31</v>
      </c>
      <c r="G146" s="3">
        <v>1.83</v>
      </c>
      <c r="H146" s="3">
        <v>56.73</v>
      </c>
      <c r="I146" t="s">
        <v>39</v>
      </c>
      <c r="J146" t="e">
        <f t="shared" si="2"/>
        <v>#VALUE!</v>
      </c>
    </row>
    <row r="147" spans="1:10" x14ac:dyDescent="0.35">
      <c r="A147">
        <v>594</v>
      </c>
      <c r="B147" s="2">
        <v>45929</v>
      </c>
      <c r="C147" t="s">
        <v>13</v>
      </c>
      <c r="D147" t="s">
        <v>14</v>
      </c>
      <c r="E147" t="s">
        <v>15</v>
      </c>
      <c r="F147">
        <v>63</v>
      </c>
      <c r="G147" s="3">
        <v>1.8</v>
      </c>
      <c r="H147" s="3">
        <v>113.4</v>
      </c>
      <c r="I147" t="s">
        <v>39</v>
      </c>
      <c r="J147" t="e">
        <f t="shared" si="2"/>
        <v>#VALUE!</v>
      </c>
    </row>
    <row r="148" spans="1:10" x14ac:dyDescent="0.35">
      <c r="A148">
        <v>259</v>
      </c>
      <c r="B148" s="2">
        <v>45931</v>
      </c>
      <c r="C148" t="s">
        <v>34</v>
      </c>
      <c r="D148" t="s">
        <v>10</v>
      </c>
      <c r="E148" t="s">
        <v>15</v>
      </c>
      <c r="F148">
        <v>63</v>
      </c>
      <c r="G148" s="3">
        <v>4.13</v>
      </c>
      <c r="H148" s="3">
        <v>260.19</v>
      </c>
      <c r="I148" t="s">
        <v>40</v>
      </c>
      <c r="J148" t="e">
        <f t="shared" si="2"/>
        <v>#VALUE!</v>
      </c>
    </row>
    <row r="149" spans="1:10" x14ac:dyDescent="0.35">
      <c r="A149">
        <v>312</v>
      </c>
      <c r="B149" s="2">
        <v>45931</v>
      </c>
      <c r="C149" t="s">
        <v>13</v>
      </c>
      <c r="D149" t="s">
        <v>14</v>
      </c>
      <c r="E149" t="s">
        <v>15</v>
      </c>
      <c r="F149">
        <v>91</v>
      </c>
      <c r="G149" s="3">
        <v>1.8</v>
      </c>
      <c r="H149" s="3">
        <v>163.80000000000001</v>
      </c>
      <c r="I149" t="s">
        <v>40</v>
      </c>
      <c r="J149" t="e">
        <f t="shared" si="2"/>
        <v>#VALUE!</v>
      </c>
    </row>
    <row r="150" spans="1:10" x14ac:dyDescent="0.35">
      <c r="A150">
        <v>584</v>
      </c>
      <c r="B150" s="2">
        <v>45931</v>
      </c>
      <c r="C150" t="s">
        <v>33</v>
      </c>
      <c r="D150" t="s">
        <v>20</v>
      </c>
      <c r="E150" t="s">
        <v>11</v>
      </c>
      <c r="F150">
        <v>43</v>
      </c>
      <c r="G150" s="3">
        <v>5.26</v>
      </c>
      <c r="H150" s="3">
        <v>226.18</v>
      </c>
      <c r="I150" t="s">
        <v>40</v>
      </c>
      <c r="J150" t="e">
        <f t="shared" si="2"/>
        <v>#VALUE!</v>
      </c>
    </row>
    <row r="151" spans="1:10" x14ac:dyDescent="0.35">
      <c r="A151">
        <v>591</v>
      </c>
      <c r="B151" s="2">
        <v>45932</v>
      </c>
      <c r="C151" t="s">
        <v>29</v>
      </c>
      <c r="D151" t="s">
        <v>22</v>
      </c>
      <c r="E151" t="s">
        <v>15</v>
      </c>
      <c r="F151">
        <v>65</v>
      </c>
      <c r="G151" s="3">
        <v>1.54</v>
      </c>
      <c r="H151" s="3">
        <v>100.1</v>
      </c>
      <c r="I151" t="s">
        <v>40</v>
      </c>
      <c r="J151" t="e">
        <f t="shared" si="2"/>
        <v>#VALUE!</v>
      </c>
    </row>
    <row r="152" spans="1:10" x14ac:dyDescent="0.35">
      <c r="A152">
        <v>264</v>
      </c>
      <c r="B152" s="2">
        <v>45933</v>
      </c>
      <c r="C152" t="s">
        <v>13</v>
      </c>
      <c r="D152" t="s">
        <v>14</v>
      </c>
      <c r="E152" t="s">
        <v>15</v>
      </c>
      <c r="F152">
        <v>42</v>
      </c>
      <c r="G152" s="3">
        <v>1.87</v>
      </c>
      <c r="H152" s="3">
        <v>78.540000000000006</v>
      </c>
      <c r="I152" t="s">
        <v>40</v>
      </c>
      <c r="J152" t="e">
        <f t="shared" si="2"/>
        <v>#VALUE!</v>
      </c>
    </row>
    <row r="153" spans="1:10" x14ac:dyDescent="0.35">
      <c r="A153">
        <v>160</v>
      </c>
      <c r="B153" s="2">
        <v>45935</v>
      </c>
      <c r="C153" t="s">
        <v>34</v>
      </c>
      <c r="D153" t="s">
        <v>10</v>
      </c>
      <c r="E153" t="s">
        <v>15</v>
      </c>
      <c r="F153">
        <v>59</v>
      </c>
      <c r="G153" s="3">
        <v>3.87</v>
      </c>
      <c r="H153" s="3">
        <v>228.33</v>
      </c>
      <c r="I153" t="s">
        <v>40</v>
      </c>
      <c r="J153" t="e">
        <f t="shared" si="2"/>
        <v>#VALUE!</v>
      </c>
    </row>
    <row r="154" spans="1:10" x14ac:dyDescent="0.35">
      <c r="A154">
        <v>186</v>
      </c>
      <c r="B154" s="2">
        <v>45935</v>
      </c>
      <c r="C154" t="s">
        <v>35</v>
      </c>
      <c r="D154" t="s">
        <v>17</v>
      </c>
      <c r="E154" t="s">
        <v>11</v>
      </c>
      <c r="F154">
        <v>42</v>
      </c>
      <c r="G154" s="3">
        <v>5.8</v>
      </c>
      <c r="H154" s="3">
        <v>243.6</v>
      </c>
      <c r="I154" t="s">
        <v>40</v>
      </c>
      <c r="J154" t="e">
        <f t="shared" si="2"/>
        <v>#VALUE!</v>
      </c>
    </row>
    <row r="155" spans="1:10" x14ac:dyDescent="0.35">
      <c r="A155">
        <v>204</v>
      </c>
      <c r="B155" s="2">
        <v>45936</v>
      </c>
      <c r="C155" t="s">
        <v>26</v>
      </c>
      <c r="D155" t="s">
        <v>27</v>
      </c>
      <c r="E155" t="s">
        <v>15</v>
      </c>
      <c r="F155">
        <v>73</v>
      </c>
      <c r="G155" s="3">
        <v>2.42</v>
      </c>
      <c r="H155" s="3">
        <v>176.66</v>
      </c>
      <c r="I155" t="s">
        <v>40</v>
      </c>
      <c r="J155" t="e">
        <f t="shared" si="2"/>
        <v>#VALUE!</v>
      </c>
    </row>
    <row r="156" spans="1:10" x14ac:dyDescent="0.35">
      <c r="A156">
        <v>518</v>
      </c>
      <c r="B156" s="2">
        <v>45937</v>
      </c>
      <c r="C156" t="s">
        <v>16</v>
      </c>
      <c r="D156" t="s">
        <v>17</v>
      </c>
      <c r="E156" t="s">
        <v>15</v>
      </c>
      <c r="F156">
        <v>65</v>
      </c>
      <c r="G156" s="3">
        <v>2.25</v>
      </c>
      <c r="H156" s="3">
        <v>146.25</v>
      </c>
      <c r="I156" t="s">
        <v>40</v>
      </c>
      <c r="J156" t="e">
        <f t="shared" si="2"/>
        <v>#VALUE!</v>
      </c>
    </row>
    <row r="157" spans="1:10" x14ac:dyDescent="0.35">
      <c r="A157">
        <v>597</v>
      </c>
      <c r="B157" s="2">
        <v>45937</v>
      </c>
      <c r="C157" t="s">
        <v>29</v>
      </c>
      <c r="D157" t="s">
        <v>22</v>
      </c>
      <c r="E157" t="s">
        <v>15</v>
      </c>
      <c r="F157">
        <v>69</v>
      </c>
      <c r="G157" s="3">
        <v>1.62</v>
      </c>
      <c r="H157" s="3">
        <v>111.78</v>
      </c>
      <c r="I157" t="s">
        <v>40</v>
      </c>
      <c r="J157" t="e">
        <f t="shared" si="2"/>
        <v>#VALUE!</v>
      </c>
    </row>
    <row r="158" spans="1:10" x14ac:dyDescent="0.35">
      <c r="A158">
        <v>560</v>
      </c>
      <c r="B158" s="2">
        <v>45938</v>
      </c>
      <c r="C158" t="s">
        <v>33</v>
      </c>
      <c r="D158" t="s">
        <v>20</v>
      </c>
      <c r="E158" t="s">
        <v>11</v>
      </c>
      <c r="F158">
        <v>50</v>
      </c>
      <c r="G158" s="3">
        <v>5.7</v>
      </c>
      <c r="H158" s="3">
        <v>285</v>
      </c>
      <c r="I158" t="s">
        <v>40</v>
      </c>
      <c r="J158" t="e">
        <f t="shared" si="2"/>
        <v>#VALUE!</v>
      </c>
    </row>
    <row r="159" spans="1:10" x14ac:dyDescent="0.35">
      <c r="A159">
        <v>309</v>
      </c>
      <c r="B159" s="2">
        <v>45940</v>
      </c>
      <c r="C159" t="s">
        <v>24</v>
      </c>
      <c r="D159" t="s">
        <v>10</v>
      </c>
      <c r="E159" t="s">
        <v>11</v>
      </c>
      <c r="F159">
        <v>57</v>
      </c>
      <c r="G159" s="3">
        <v>15.1</v>
      </c>
      <c r="H159" s="3">
        <v>860.7</v>
      </c>
      <c r="I159" t="s">
        <v>40</v>
      </c>
      <c r="J159" t="e">
        <f t="shared" si="2"/>
        <v>#VALUE!</v>
      </c>
    </row>
    <row r="160" spans="1:10" x14ac:dyDescent="0.35">
      <c r="A160">
        <v>313</v>
      </c>
      <c r="B160" s="2">
        <v>45940</v>
      </c>
      <c r="C160" t="s">
        <v>16</v>
      </c>
      <c r="D160" t="s">
        <v>17</v>
      </c>
      <c r="E160" t="s">
        <v>15</v>
      </c>
      <c r="F160">
        <v>74</v>
      </c>
      <c r="G160" s="3">
        <v>2.2200000000000002</v>
      </c>
      <c r="H160" s="3">
        <v>164.28</v>
      </c>
      <c r="I160" t="s">
        <v>40</v>
      </c>
      <c r="J160" t="e">
        <f t="shared" si="2"/>
        <v>#VALUE!</v>
      </c>
    </row>
    <row r="161" spans="1:10" x14ac:dyDescent="0.35">
      <c r="A161">
        <v>341</v>
      </c>
      <c r="B161" s="2">
        <v>45940</v>
      </c>
      <c r="C161" t="s">
        <v>37</v>
      </c>
      <c r="D161" t="s">
        <v>27</v>
      </c>
      <c r="E161" t="s">
        <v>11</v>
      </c>
      <c r="F161">
        <v>9</v>
      </c>
      <c r="G161" s="3">
        <v>8.1999999999999993</v>
      </c>
      <c r="H161" s="3">
        <v>73.8</v>
      </c>
      <c r="I161" t="s">
        <v>40</v>
      </c>
      <c r="J161" t="e">
        <f t="shared" si="2"/>
        <v>#VALUE!</v>
      </c>
    </row>
    <row r="162" spans="1:10" x14ac:dyDescent="0.35">
      <c r="A162">
        <v>525</v>
      </c>
      <c r="B162" s="2">
        <v>45940</v>
      </c>
      <c r="C162" t="s">
        <v>33</v>
      </c>
      <c r="D162" t="s">
        <v>20</v>
      </c>
      <c r="E162" t="s">
        <v>11</v>
      </c>
      <c r="F162">
        <v>34</v>
      </c>
      <c r="G162" s="3">
        <v>5.59</v>
      </c>
      <c r="H162" s="3">
        <v>190.06</v>
      </c>
      <c r="I162" t="s">
        <v>40</v>
      </c>
      <c r="J162" t="e">
        <f t="shared" si="2"/>
        <v>#VALUE!</v>
      </c>
    </row>
    <row r="163" spans="1:10" x14ac:dyDescent="0.35">
      <c r="A163">
        <v>1</v>
      </c>
      <c r="B163" s="2">
        <v>45941</v>
      </c>
      <c r="C163" t="s">
        <v>26</v>
      </c>
      <c r="D163" t="s">
        <v>27</v>
      </c>
      <c r="E163" t="s">
        <v>15</v>
      </c>
      <c r="F163">
        <v>66</v>
      </c>
      <c r="G163" s="3">
        <v>2.4300000000000002</v>
      </c>
      <c r="H163" s="3">
        <v>160.38</v>
      </c>
      <c r="I163" t="s">
        <v>40</v>
      </c>
      <c r="J163" t="e">
        <f t="shared" si="2"/>
        <v>#VALUE!</v>
      </c>
    </row>
    <row r="164" spans="1:10" x14ac:dyDescent="0.35">
      <c r="A164">
        <v>216</v>
      </c>
      <c r="B164" s="2">
        <v>45941</v>
      </c>
      <c r="C164" t="s">
        <v>23</v>
      </c>
      <c r="D164" t="s">
        <v>17</v>
      </c>
      <c r="E164" t="s">
        <v>11</v>
      </c>
      <c r="F164">
        <v>33</v>
      </c>
      <c r="G164" s="3">
        <v>5.98</v>
      </c>
      <c r="H164" s="3">
        <v>197.34</v>
      </c>
      <c r="I164" t="s">
        <v>40</v>
      </c>
      <c r="J164" t="e">
        <f t="shared" si="2"/>
        <v>#VALUE!</v>
      </c>
    </row>
    <row r="165" spans="1:10" x14ac:dyDescent="0.35">
      <c r="A165">
        <v>41</v>
      </c>
      <c r="B165" s="2">
        <v>45942</v>
      </c>
      <c r="C165" t="s">
        <v>16</v>
      </c>
      <c r="D165" t="s">
        <v>17</v>
      </c>
      <c r="E165" t="s">
        <v>15</v>
      </c>
      <c r="F165">
        <v>65</v>
      </c>
      <c r="G165" s="3">
        <v>2.37</v>
      </c>
      <c r="H165" s="3">
        <v>154.05000000000001</v>
      </c>
      <c r="I165" t="s">
        <v>40</v>
      </c>
      <c r="J165" t="e">
        <f t="shared" si="2"/>
        <v>#VALUE!</v>
      </c>
    </row>
    <row r="166" spans="1:10" x14ac:dyDescent="0.35">
      <c r="A166">
        <v>494</v>
      </c>
      <c r="B166" s="2">
        <v>45943</v>
      </c>
      <c r="C166" t="s">
        <v>36</v>
      </c>
      <c r="D166" t="s">
        <v>14</v>
      </c>
      <c r="E166" t="s">
        <v>15</v>
      </c>
      <c r="F166">
        <v>51</v>
      </c>
      <c r="G166" s="3">
        <v>2.2599999999999998</v>
      </c>
      <c r="H166" s="3">
        <v>115.26</v>
      </c>
      <c r="I166" t="s">
        <v>40</v>
      </c>
      <c r="J166" t="e">
        <f t="shared" si="2"/>
        <v>#VALUE!</v>
      </c>
    </row>
    <row r="167" spans="1:10" x14ac:dyDescent="0.35">
      <c r="A167">
        <v>321</v>
      </c>
      <c r="B167" s="2">
        <v>45944</v>
      </c>
      <c r="C167" t="s">
        <v>35</v>
      </c>
      <c r="D167" t="s">
        <v>17</v>
      </c>
      <c r="E167" t="s">
        <v>11</v>
      </c>
      <c r="F167">
        <v>50</v>
      </c>
      <c r="G167" s="3">
        <v>5.81</v>
      </c>
      <c r="H167" s="3">
        <v>290.5</v>
      </c>
      <c r="I167" t="s">
        <v>40</v>
      </c>
      <c r="J167" t="e">
        <f t="shared" si="2"/>
        <v>#VALUE!</v>
      </c>
    </row>
    <row r="168" spans="1:10" x14ac:dyDescent="0.35">
      <c r="A168">
        <v>412</v>
      </c>
      <c r="B168" s="2">
        <v>45945</v>
      </c>
      <c r="C168" t="s">
        <v>16</v>
      </c>
      <c r="D168" t="s">
        <v>17</v>
      </c>
      <c r="E168" t="s">
        <v>15</v>
      </c>
      <c r="F168">
        <v>55</v>
      </c>
      <c r="G168" s="3">
        <v>2.2599999999999998</v>
      </c>
      <c r="H168" s="3">
        <v>124.3</v>
      </c>
      <c r="I168" t="s">
        <v>40</v>
      </c>
      <c r="J168" t="e">
        <f t="shared" si="2"/>
        <v>#VALUE!</v>
      </c>
    </row>
    <row r="169" spans="1:10" x14ac:dyDescent="0.35">
      <c r="A169">
        <v>209</v>
      </c>
      <c r="B169" s="2">
        <v>45946</v>
      </c>
      <c r="C169" t="s">
        <v>37</v>
      </c>
      <c r="D169" t="s">
        <v>27</v>
      </c>
      <c r="E169" t="s">
        <v>11</v>
      </c>
      <c r="F169">
        <v>62</v>
      </c>
      <c r="G169" s="3">
        <v>8.6</v>
      </c>
      <c r="H169" s="3">
        <v>533.20000000000005</v>
      </c>
      <c r="I169" t="s">
        <v>40</v>
      </c>
      <c r="J169" t="e">
        <f t="shared" si="2"/>
        <v>#VALUE!</v>
      </c>
    </row>
    <row r="170" spans="1:10" x14ac:dyDescent="0.35">
      <c r="A170">
        <v>217</v>
      </c>
      <c r="B170" s="2">
        <v>45946</v>
      </c>
      <c r="C170" t="s">
        <v>32</v>
      </c>
      <c r="D170" t="s">
        <v>20</v>
      </c>
      <c r="E170" t="s">
        <v>11</v>
      </c>
      <c r="F170">
        <v>26</v>
      </c>
      <c r="G170" s="3">
        <v>3.34</v>
      </c>
      <c r="H170" s="3">
        <v>86.84</v>
      </c>
      <c r="I170" t="s">
        <v>40</v>
      </c>
      <c r="J170" t="e">
        <f t="shared" si="2"/>
        <v>#VALUE!</v>
      </c>
    </row>
    <row r="171" spans="1:10" x14ac:dyDescent="0.35">
      <c r="A171">
        <v>294</v>
      </c>
      <c r="B171" s="2">
        <v>45946</v>
      </c>
      <c r="C171" t="s">
        <v>13</v>
      </c>
      <c r="D171" t="s">
        <v>14</v>
      </c>
      <c r="E171" t="s">
        <v>15</v>
      </c>
      <c r="F171">
        <v>78</v>
      </c>
      <c r="G171" s="3">
        <v>1.72</v>
      </c>
      <c r="H171" s="3">
        <v>134.16</v>
      </c>
      <c r="I171" t="s">
        <v>40</v>
      </c>
      <c r="J171" t="e">
        <f t="shared" si="2"/>
        <v>#VALUE!</v>
      </c>
    </row>
    <row r="172" spans="1:10" x14ac:dyDescent="0.35">
      <c r="A172">
        <v>88</v>
      </c>
      <c r="B172" s="2">
        <v>45947</v>
      </c>
      <c r="C172" t="s">
        <v>37</v>
      </c>
      <c r="D172" t="s">
        <v>27</v>
      </c>
      <c r="E172" t="s">
        <v>11</v>
      </c>
      <c r="F172">
        <v>57</v>
      </c>
      <c r="G172" s="3">
        <v>8.64</v>
      </c>
      <c r="H172" s="3">
        <v>492.48</v>
      </c>
      <c r="I172" t="s">
        <v>40</v>
      </c>
      <c r="J172" t="e">
        <f t="shared" si="2"/>
        <v>#VALUE!</v>
      </c>
    </row>
    <row r="173" spans="1:10" x14ac:dyDescent="0.35">
      <c r="A173">
        <v>515</v>
      </c>
      <c r="B173" s="2">
        <v>45947</v>
      </c>
      <c r="C173" t="s">
        <v>19</v>
      </c>
      <c r="D173" t="s">
        <v>20</v>
      </c>
      <c r="E173" t="s">
        <v>15</v>
      </c>
      <c r="F173">
        <v>91</v>
      </c>
      <c r="G173" s="3">
        <v>2.94</v>
      </c>
      <c r="H173" s="3">
        <v>267.54000000000002</v>
      </c>
      <c r="I173" t="s">
        <v>40</v>
      </c>
      <c r="J173" t="e">
        <f t="shared" si="2"/>
        <v>#VALUE!</v>
      </c>
    </row>
    <row r="174" spans="1:10" x14ac:dyDescent="0.35">
      <c r="A174">
        <v>137</v>
      </c>
      <c r="B174" s="2">
        <v>45949</v>
      </c>
      <c r="C174" t="s">
        <v>16</v>
      </c>
      <c r="D174" t="s">
        <v>17</v>
      </c>
      <c r="E174" t="s">
        <v>15</v>
      </c>
      <c r="F174">
        <v>18</v>
      </c>
      <c r="G174" s="3">
        <v>2.19</v>
      </c>
      <c r="H174" s="3">
        <v>39.42</v>
      </c>
      <c r="I174" t="s">
        <v>40</v>
      </c>
      <c r="J174" t="e">
        <f t="shared" si="2"/>
        <v>#VALUE!</v>
      </c>
    </row>
    <row r="175" spans="1:10" x14ac:dyDescent="0.35">
      <c r="A175">
        <v>159</v>
      </c>
      <c r="B175" s="2">
        <v>45949</v>
      </c>
      <c r="C175" t="s">
        <v>21</v>
      </c>
      <c r="D175" t="s">
        <v>22</v>
      </c>
      <c r="E175" t="s">
        <v>11</v>
      </c>
      <c r="F175">
        <v>48</v>
      </c>
      <c r="G175" s="3">
        <v>4.8499999999999996</v>
      </c>
      <c r="H175" s="3">
        <v>232.8</v>
      </c>
      <c r="I175" t="s">
        <v>40</v>
      </c>
      <c r="J175" t="e">
        <f t="shared" si="2"/>
        <v>#VALUE!</v>
      </c>
    </row>
    <row r="176" spans="1:10" x14ac:dyDescent="0.35">
      <c r="A176">
        <v>273</v>
      </c>
      <c r="B176" s="2">
        <v>45949</v>
      </c>
      <c r="C176" t="s">
        <v>23</v>
      </c>
      <c r="D176" t="s">
        <v>17</v>
      </c>
      <c r="E176" t="s">
        <v>11</v>
      </c>
      <c r="F176">
        <v>83</v>
      </c>
      <c r="G176" s="3">
        <v>6.31</v>
      </c>
      <c r="H176" s="3">
        <v>523.73</v>
      </c>
      <c r="I176" t="s">
        <v>40</v>
      </c>
      <c r="J176" t="e">
        <f t="shared" si="2"/>
        <v>#VALUE!</v>
      </c>
    </row>
    <row r="177" spans="1:10" x14ac:dyDescent="0.35">
      <c r="A177">
        <v>395</v>
      </c>
      <c r="B177" s="2">
        <v>45949</v>
      </c>
      <c r="C177" t="s">
        <v>29</v>
      </c>
      <c r="D177" t="s">
        <v>22</v>
      </c>
      <c r="E177" t="s">
        <v>15</v>
      </c>
      <c r="F177">
        <v>51</v>
      </c>
      <c r="G177" s="3">
        <v>1.58</v>
      </c>
      <c r="H177" s="3">
        <v>80.58</v>
      </c>
      <c r="I177" t="s">
        <v>40</v>
      </c>
      <c r="J177" t="e">
        <f t="shared" si="2"/>
        <v>#VALUE!</v>
      </c>
    </row>
    <row r="178" spans="1:10" x14ac:dyDescent="0.35">
      <c r="A178">
        <v>541</v>
      </c>
      <c r="B178" s="2">
        <v>45949</v>
      </c>
      <c r="C178" t="s">
        <v>13</v>
      </c>
      <c r="D178" t="s">
        <v>14</v>
      </c>
      <c r="E178" t="s">
        <v>15</v>
      </c>
      <c r="F178">
        <v>69</v>
      </c>
      <c r="G178" s="3">
        <v>1.79</v>
      </c>
      <c r="H178" s="3">
        <v>123.51</v>
      </c>
      <c r="I178" t="s">
        <v>40</v>
      </c>
      <c r="J178" t="e">
        <f t="shared" si="2"/>
        <v>#VALUE!</v>
      </c>
    </row>
    <row r="179" spans="1:10" x14ac:dyDescent="0.35">
      <c r="A179">
        <v>566</v>
      </c>
      <c r="B179" s="2">
        <v>45949</v>
      </c>
      <c r="C179" t="s">
        <v>21</v>
      </c>
      <c r="D179" t="s">
        <v>22</v>
      </c>
      <c r="E179" t="s">
        <v>11</v>
      </c>
      <c r="F179">
        <v>46</v>
      </c>
      <c r="G179" s="3">
        <v>5.14</v>
      </c>
      <c r="H179" s="3">
        <v>236.44</v>
      </c>
      <c r="I179" t="s">
        <v>40</v>
      </c>
      <c r="J179" t="e">
        <f t="shared" si="2"/>
        <v>#VALUE!</v>
      </c>
    </row>
    <row r="180" spans="1:10" x14ac:dyDescent="0.35">
      <c r="A180">
        <v>572</v>
      </c>
      <c r="B180" s="2">
        <v>45949</v>
      </c>
      <c r="C180" t="s">
        <v>28</v>
      </c>
      <c r="D180" t="s">
        <v>20</v>
      </c>
      <c r="E180" t="s">
        <v>15</v>
      </c>
      <c r="F180">
        <v>30</v>
      </c>
      <c r="G180" s="3">
        <v>2.67</v>
      </c>
      <c r="H180" s="3">
        <v>80.099999999999994</v>
      </c>
      <c r="I180" t="s">
        <v>40</v>
      </c>
      <c r="J180" t="e">
        <f t="shared" si="2"/>
        <v>#VALUE!</v>
      </c>
    </row>
    <row r="181" spans="1:10" x14ac:dyDescent="0.35">
      <c r="A181">
        <v>189</v>
      </c>
      <c r="B181" s="2">
        <v>45950</v>
      </c>
      <c r="C181" t="s">
        <v>16</v>
      </c>
      <c r="D181" t="s">
        <v>17</v>
      </c>
      <c r="E181" t="s">
        <v>15</v>
      </c>
      <c r="F181">
        <v>71</v>
      </c>
      <c r="G181" s="3">
        <v>2.3199999999999998</v>
      </c>
      <c r="H181" s="3">
        <v>164.72</v>
      </c>
      <c r="I181" t="s">
        <v>40</v>
      </c>
      <c r="J181" t="e">
        <f t="shared" si="2"/>
        <v>#VALUE!</v>
      </c>
    </row>
    <row r="182" spans="1:10" x14ac:dyDescent="0.35">
      <c r="A182">
        <v>397</v>
      </c>
      <c r="B182" s="2">
        <v>45950</v>
      </c>
      <c r="C182" t="s">
        <v>21</v>
      </c>
      <c r="D182" t="s">
        <v>22</v>
      </c>
      <c r="E182" t="s">
        <v>11</v>
      </c>
      <c r="F182">
        <v>66</v>
      </c>
      <c r="G182" s="3">
        <v>5.3</v>
      </c>
      <c r="H182" s="3">
        <v>349.8</v>
      </c>
      <c r="I182" t="s">
        <v>40</v>
      </c>
      <c r="J182" t="e">
        <f t="shared" si="2"/>
        <v>#VALUE!</v>
      </c>
    </row>
    <row r="183" spans="1:10" x14ac:dyDescent="0.35">
      <c r="A183">
        <v>386</v>
      </c>
      <c r="B183" s="2">
        <v>45952</v>
      </c>
      <c r="C183" t="s">
        <v>13</v>
      </c>
      <c r="D183" t="s">
        <v>14</v>
      </c>
      <c r="E183" t="s">
        <v>15</v>
      </c>
      <c r="F183">
        <v>19</v>
      </c>
      <c r="G183" s="3">
        <v>1.74</v>
      </c>
      <c r="H183" s="3">
        <v>33.06</v>
      </c>
      <c r="I183" t="s">
        <v>40</v>
      </c>
      <c r="J183" t="e">
        <f t="shared" si="2"/>
        <v>#VALUE!</v>
      </c>
    </row>
    <row r="184" spans="1:10" x14ac:dyDescent="0.35">
      <c r="A184">
        <v>599</v>
      </c>
      <c r="B184" s="2">
        <v>45952</v>
      </c>
      <c r="C184" t="s">
        <v>19</v>
      </c>
      <c r="D184" t="s">
        <v>20</v>
      </c>
      <c r="E184" t="s">
        <v>15</v>
      </c>
      <c r="F184">
        <v>27</v>
      </c>
      <c r="G184" s="3">
        <v>2.87</v>
      </c>
      <c r="H184" s="3">
        <v>77.489999999999995</v>
      </c>
      <c r="I184" t="s">
        <v>40</v>
      </c>
      <c r="J184" t="e">
        <f t="shared" si="2"/>
        <v>#VALUE!</v>
      </c>
    </row>
    <row r="185" spans="1:10" x14ac:dyDescent="0.35">
      <c r="A185">
        <v>50</v>
      </c>
      <c r="B185" s="2">
        <v>45954</v>
      </c>
      <c r="C185" t="s">
        <v>30</v>
      </c>
      <c r="D185" t="s">
        <v>14</v>
      </c>
      <c r="E185" t="s">
        <v>11</v>
      </c>
      <c r="F185">
        <v>43</v>
      </c>
      <c r="G185" s="3">
        <v>4.37</v>
      </c>
      <c r="H185" s="3">
        <v>187.91</v>
      </c>
      <c r="I185" t="s">
        <v>40</v>
      </c>
      <c r="J185" t="e">
        <f t="shared" si="2"/>
        <v>#VALUE!</v>
      </c>
    </row>
    <row r="186" spans="1:10" x14ac:dyDescent="0.35">
      <c r="A186">
        <v>365</v>
      </c>
      <c r="B186" s="2">
        <v>45954</v>
      </c>
      <c r="C186" t="s">
        <v>36</v>
      </c>
      <c r="D186" t="s">
        <v>14</v>
      </c>
      <c r="E186" t="s">
        <v>15</v>
      </c>
      <c r="F186">
        <v>76</v>
      </c>
      <c r="G186" s="3">
        <v>2.2999999999999998</v>
      </c>
      <c r="H186" s="3">
        <v>174.8</v>
      </c>
      <c r="I186" t="s">
        <v>40</v>
      </c>
      <c r="J186" t="e">
        <f t="shared" si="2"/>
        <v>#VALUE!</v>
      </c>
    </row>
    <row r="187" spans="1:10" x14ac:dyDescent="0.35">
      <c r="A187">
        <v>64</v>
      </c>
      <c r="B187" s="2">
        <v>45955</v>
      </c>
      <c r="C187" t="s">
        <v>25</v>
      </c>
      <c r="D187" t="s">
        <v>17</v>
      </c>
      <c r="E187" t="s">
        <v>15</v>
      </c>
      <c r="F187">
        <v>47</v>
      </c>
      <c r="G187" s="3">
        <v>1.92</v>
      </c>
      <c r="H187" s="3">
        <v>90.24</v>
      </c>
      <c r="I187" t="s">
        <v>40</v>
      </c>
      <c r="J187" t="e">
        <f t="shared" si="2"/>
        <v>#VALUE!</v>
      </c>
    </row>
    <row r="188" spans="1:10" x14ac:dyDescent="0.35">
      <c r="A188">
        <v>99</v>
      </c>
      <c r="B188" s="2">
        <v>45955</v>
      </c>
      <c r="C188" t="s">
        <v>24</v>
      </c>
      <c r="D188" t="s">
        <v>10</v>
      </c>
      <c r="E188" t="s">
        <v>11</v>
      </c>
      <c r="F188">
        <v>45</v>
      </c>
      <c r="G188" s="3">
        <v>14.88</v>
      </c>
      <c r="H188" s="3">
        <v>669.6</v>
      </c>
      <c r="I188" t="s">
        <v>40</v>
      </c>
      <c r="J188" t="e">
        <f t="shared" si="2"/>
        <v>#VALUE!</v>
      </c>
    </row>
    <row r="189" spans="1:10" x14ac:dyDescent="0.35">
      <c r="A189">
        <v>214</v>
      </c>
      <c r="B189" s="2">
        <v>45955</v>
      </c>
      <c r="C189" t="s">
        <v>13</v>
      </c>
      <c r="D189" t="s">
        <v>14</v>
      </c>
      <c r="E189" t="s">
        <v>15</v>
      </c>
      <c r="F189">
        <v>57</v>
      </c>
      <c r="G189" s="3">
        <v>1.93</v>
      </c>
      <c r="H189" s="3">
        <v>110.01</v>
      </c>
      <c r="I189" t="s">
        <v>40</v>
      </c>
      <c r="J189" t="e">
        <f t="shared" si="2"/>
        <v>#VALUE!</v>
      </c>
    </row>
    <row r="190" spans="1:10" x14ac:dyDescent="0.35">
      <c r="A190">
        <v>315</v>
      </c>
      <c r="B190" s="2">
        <v>45955</v>
      </c>
      <c r="C190" t="s">
        <v>32</v>
      </c>
      <c r="D190" t="s">
        <v>20</v>
      </c>
      <c r="E190" t="s">
        <v>11</v>
      </c>
      <c r="F190">
        <v>15</v>
      </c>
      <c r="G190" s="3">
        <v>3.24</v>
      </c>
      <c r="H190" s="3">
        <v>48.6</v>
      </c>
      <c r="I190" t="s">
        <v>40</v>
      </c>
      <c r="J190" t="e">
        <f t="shared" si="2"/>
        <v>#VALUE!</v>
      </c>
    </row>
    <row r="191" spans="1:10" x14ac:dyDescent="0.35">
      <c r="A191">
        <v>406</v>
      </c>
      <c r="B191" s="2">
        <v>45955</v>
      </c>
      <c r="C191" t="s">
        <v>21</v>
      </c>
      <c r="D191" t="s">
        <v>22</v>
      </c>
      <c r="E191" t="s">
        <v>11</v>
      </c>
      <c r="F191">
        <v>60</v>
      </c>
      <c r="G191" s="3">
        <v>5.04</v>
      </c>
      <c r="H191" s="3">
        <v>302.39999999999998</v>
      </c>
      <c r="I191" t="s">
        <v>40</v>
      </c>
      <c r="J191" t="e">
        <f t="shared" si="2"/>
        <v>#VALUE!</v>
      </c>
    </row>
    <row r="192" spans="1:10" x14ac:dyDescent="0.35">
      <c r="A192">
        <v>503</v>
      </c>
      <c r="B192" s="2">
        <v>45956</v>
      </c>
      <c r="C192" t="s">
        <v>31</v>
      </c>
      <c r="D192" t="s">
        <v>14</v>
      </c>
      <c r="E192" t="s">
        <v>11</v>
      </c>
      <c r="F192">
        <v>70</v>
      </c>
      <c r="G192" s="3">
        <v>6.31</v>
      </c>
      <c r="H192" s="3">
        <v>441.7</v>
      </c>
      <c r="I192" t="s">
        <v>40</v>
      </c>
      <c r="J192" t="e">
        <f t="shared" si="2"/>
        <v>#VALUE!</v>
      </c>
    </row>
    <row r="193" spans="1:10" x14ac:dyDescent="0.35">
      <c r="A193">
        <v>564</v>
      </c>
      <c r="B193" s="2">
        <v>45956</v>
      </c>
      <c r="C193" t="s">
        <v>21</v>
      </c>
      <c r="D193" t="s">
        <v>22</v>
      </c>
      <c r="E193" t="s">
        <v>11</v>
      </c>
      <c r="F193">
        <v>19</v>
      </c>
      <c r="G193" s="3">
        <v>4.8099999999999996</v>
      </c>
      <c r="H193" s="3">
        <v>91.39</v>
      </c>
      <c r="I193" t="s">
        <v>40</v>
      </c>
      <c r="J193" t="e">
        <f t="shared" si="2"/>
        <v>#VALUE!</v>
      </c>
    </row>
    <row r="194" spans="1:10" x14ac:dyDescent="0.35">
      <c r="A194">
        <v>191</v>
      </c>
      <c r="B194" s="2">
        <v>45957</v>
      </c>
      <c r="C194" t="s">
        <v>24</v>
      </c>
      <c r="D194" t="s">
        <v>10</v>
      </c>
      <c r="E194" t="s">
        <v>11</v>
      </c>
      <c r="F194">
        <v>66</v>
      </c>
      <c r="G194" s="3">
        <v>14.96</v>
      </c>
      <c r="H194" s="3">
        <v>987.36</v>
      </c>
      <c r="I194" t="s">
        <v>40</v>
      </c>
      <c r="J194" t="e">
        <f t="shared" ref="J194:J257" si="3">(I195-I194)/I194</f>
        <v>#VALUE!</v>
      </c>
    </row>
    <row r="195" spans="1:10" x14ac:dyDescent="0.35">
      <c r="A195">
        <v>388</v>
      </c>
      <c r="B195" s="2">
        <v>45957</v>
      </c>
      <c r="C195" t="s">
        <v>18</v>
      </c>
      <c r="D195" t="s">
        <v>10</v>
      </c>
      <c r="E195" t="s">
        <v>15</v>
      </c>
      <c r="F195">
        <v>71</v>
      </c>
      <c r="G195" s="3">
        <v>6.42</v>
      </c>
      <c r="H195" s="3">
        <v>455.82</v>
      </c>
      <c r="I195" t="s">
        <v>40</v>
      </c>
      <c r="J195" t="e">
        <f t="shared" si="3"/>
        <v>#VALUE!</v>
      </c>
    </row>
    <row r="196" spans="1:10" x14ac:dyDescent="0.35">
      <c r="A196">
        <v>568</v>
      </c>
      <c r="B196" s="2">
        <v>45957</v>
      </c>
      <c r="C196" t="s">
        <v>34</v>
      </c>
      <c r="D196" t="s">
        <v>10</v>
      </c>
      <c r="E196" t="s">
        <v>15</v>
      </c>
      <c r="F196">
        <v>46</v>
      </c>
      <c r="G196" s="3">
        <v>4.07</v>
      </c>
      <c r="H196" s="3">
        <v>187.22</v>
      </c>
      <c r="I196" t="s">
        <v>40</v>
      </c>
      <c r="J196" t="e">
        <f t="shared" si="3"/>
        <v>#VALUE!</v>
      </c>
    </row>
    <row r="197" spans="1:10" x14ac:dyDescent="0.35">
      <c r="A197">
        <v>40</v>
      </c>
      <c r="B197" s="2">
        <v>45958</v>
      </c>
      <c r="C197" t="s">
        <v>23</v>
      </c>
      <c r="D197" t="s">
        <v>17</v>
      </c>
      <c r="E197" t="s">
        <v>11</v>
      </c>
      <c r="F197">
        <v>50</v>
      </c>
      <c r="G197" s="3">
        <v>5.77</v>
      </c>
      <c r="H197" s="3">
        <v>288.5</v>
      </c>
      <c r="I197" t="s">
        <v>40</v>
      </c>
      <c r="J197" t="e">
        <f t="shared" si="3"/>
        <v>#VALUE!</v>
      </c>
    </row>
    <row r="198" spans="1:10" x14ac:dyDescent="0.35">
      <c r="A198">
        <v>327</v>
      </c>
      <c r="B198" s="2">
        <v>45959</v>
      </c>
      <c r="C198" t="s">
        <v>9</v>
      </c>
      <c r="D198" t="s">
        <v>10</v>
      </c>
      <c r="E198" t="s">
        <v>11</v>
      </c>
      <c r="F198">
        <v>22</v>
      </c>
      <c r="G198" s="3">
        <v>12.62</v>
      </c>
      <c r="H198" s="3">
        <v>277.64</v>
      </c>
      <c r="I198" t="s">
        <v>40</v>
      </c>
      <c r="J198" t="e">
        <f t="shared" si="3"/>
        <v>#VALUE!</v>
      </c>
    </row>
    <row r="199" spans="1:10" x14ac:dyDescent="0.35">
      <c r="A199">
        <v>465</v>
      </c>
      <c r="B199" s="2">
        <v>45959</v>
      </c>
      <c r="C199" t="s">
        <v>18</v>
      </c>
      <c r="D199" t="s">
        <v>10</v>
      </c>
      <c r="E199" t="s">
        <v>15</v>
      </c>
      <c r="F199">
        <v>61</v>
      </c>
      <c r="G199" s="3">
        <v>6.12</v>
      </c>
      <c r="H199" s="3">
        <v>373.32</v>
      </c>
      <c r="I199" t="s">
        <v>40</v>
      </c>
      <c r="J199" t="e">
        <f t="shared" si="3"/>
        <v>#VALUE!</v>
      </c>
    </row>
    <row r="200" spans="1:10" x14ac:dyDescent="0.35">
      <c r="A200">
        <v>65</v>
      </c>
      <c r="B200" s="2">
        <v>45960</v>
      </c>
      <c r="C200" t="s">
        <v>29</v>
      </c>
      <c r="D200" t="s">
        <v>22</v>
      </c>
      <c r="E200" t="s">
        <v>15</v>
      </c>
      <c r="F200">
        <v>49</v>
      </c>
      <c r="G200" s="3">
        <v>1.46</v>
      </c>
      <c r="H200" s="3">
        <v>71.540000000000006</v>
      </c>
      <c r="I200" t="s">
        <v>40</v>
      </c>
      <c r="J200" t="e">
        <f t="shared" si="3"/>
        <v>#VALUE!</v>
      </c>
    </row>
    <row r="201" spans="1:10" x14ac:dyDescent="0.35">
      <c r="A201">
        <v>89</v>
      </c>
      <c r="B201" s="2">
        <v>45960</v>
      </c>
      <c r="C201" t="s">
        <v>35</v>
      </c>
      <c r="D201" t="s">
        <v>17</v>
      </c>
      <c r="E201" t="s">
        <v>11</v>
      </c>
      <c r="F201">
        <v>77</v>
      </c>
      <c r="G201" s="3">
        <v>5.92</v>
      </c>
      <c r="H201" s="3">
        <v>455.84</v>
      </c>
      <c r="I201" t="s">
        <v>40</v>
      </c>
      <c r="J201" t="e">
        <f t="shared" si="3"/>
        <v>#VALUE!</v>
      </c>
    </row>
    <row r="202" spans="1:10" x14ac:dyDescent="0.35">
      <c r="A202">
        <v>201</v>
      </c>
      <c r="B202" s="2">
        <v>45960</v>
      </c>
      <c r="C202" t="s">
        <v>28</v>
      </c>
      <c r="D202" t="s">
        <v>20</v>
      </c>
      <c r="E202" t="s">
        <v>15</v>
      </c>
      <c r="F202">
        <v>64</v>
      </c>
      <c r="G202" s="3">
        <v>2.4</v>
      </c>
      <c r="H202" s="3">
        <v>153.6</v>
      </c>
      <c r="I202" t="s">
        <v>40</v>
      </c>
      <c r="J202" t="e">
        <f t="shared" si="3"/>
        <v>#VALUE!</v>
      </c>
    </row>
    <row r="203" spans="1:10" x14ac:dyDescent="0.35">
      <c r="A203">
        <v>511</v>
      </c>
      <c r="B203" s="2">
        <v>45960</v>
      </c>
      <c r="C203" t="s">
        <v>26</v>
      </c>
      <c r="D203" t="s">
        <v>27</v>
      </c>
      <c r="E203" t="s">
        <v>15</v>
      </c>
      <c r="F203">
        <v>67</v>
      </c>
      <c r="G203" s="3">
        <v>2.57</v>
      </c>
      <c r="H203" s="3">
        <v>172.19</v>
      </c>
      <c r="I203" t="s">
        <v>40</v>
      </c>
      <c r="J203" t="e">
        <f t="shared" si="3"/>
        <v>#VALUE!</v>
      </c>
    </row>
    <row r="204" spans="1:10" x14ac:dyDescent="0.35">
      <c r="A204">
        <v>234</v>
      </c>
      <c r="B204" s="2">
        <v>45961</v>
      </c>
      <c r="C204" t="s">
        <v>28</v>
      </c>
      <c r="D204" t="s">
        <v>20</v>
      </c>
      <c r="E204" t="s">
        <v>15</v>
      </c>
      <c r="F204">
        <v>75</v>
      </c>
      <c r="G204" s="3">
        <v>2.65</v>
      </c>
      <c r="H204" s="3">
        <v>198.75</v>
      </c>
      <c r="I204" t="s">
        <v>40</v>
      </c>
      <c r="J204" t="e">
        <f t="shared" si="3"/>
        <v>#VALUE!</v>
      </c>
    </row>
    <row r="205" spans="1:10" x14ac:dyDescent="0.35">
      <c r="A205">
        <v>236</v>
      </c>
      <c r="B205" s="2">
        <v>45962</v>
      </c>
      <c r="C205" t="s">
        <v>28</v>
      </c>
      <c r="D205" t="s">
        <v>20</v>
      </c>
      <c r="E205" t="s">
        <v>15</v>
      </c>
      <c r="F205">
        <v>59</v>
      </c>
      <c r="G205" s="3">
        <v>2.6</v>
      </c>
      <c r="H205" s="3">
        <v>153.4</v>
      </c>
      <c r="I205" t="s">
        <v>41</v>
      </c>
      <c r="J205" t="e">
        <f t="shared" si="3"/>
        <v>#VALUE!</v>
      </c>
    </row>
    <row r="206" spans="1:10" x14ac:dyDescent="0.35">
      <c r="A206">
        <v>364</v>
      </c>
      <c r="B206" s="2">
        <v>45962</v>
      </c>
      <c r="C206" t="s">
        <v>31</v>
      </c>
      <c r="D206" t="s">
        <v>14</v>
      </c>
      <c r="E206" t="s">
        <v>11</v>
      </c>
      <c r="F206">
        <v>61</v>
      </c>
      <c r="G206" s="3">
        <v>6.29</v>
      </c>
      <c r="H206" s="3">
        <v>383.69</v>
      </c>
      <c r="I206" t="s">
        <v>41</v>
      </c>
      <c r="J206" t="e">
        <f t="shared" si="3"/>
        <v>#VALUE!</v>
      </c>
    </row>
    <row r="207" spans="1:10" x14ac:dyDescent="0.35">
      <c r="A207">
        <v>59</v>
      </c>
      <c r="B207" s="2">
        <v>45963</v>
      </c>
      <c r="C207" t="s">
        <v>28</v>
      </c>
      <c r="D207" t="s">
        <v>20</v>
      </c>
      <c r="E207" t="s">
        <v>15</v>
      </c>
      <c r="F207">
        <v>46</v>
      </c>
      <c r="G207" s="3">
        <v>2.42</v>
      </c>
      <c r="H207" s="3">
        <v>111.32</v>
      </c>
      <c r="I207" t="s">
        <v>41</v>
      </c>
      <c r="J207" t="e">
        <f t="shared" si="3"/>
        <v>#VALUE!</v>
      </c>
    </row>
    <row r="208" spans="1:10" x14ac:dyDescent="0.35">
      <c r="A208">
        <v>334</v>
      </c>
      <c r="B208" s="2">
        <v>45963</v>
      </c>
      <c r="C208" t="s">
        <v>35</v>
      </c>
      <c r="D208" t="s">
        <v>17</v>
      </c>
      <c r="E208" t="s">
        <v>11</v>
      </c>
      <c r="F208">
        <v>61</v>
      </c>
      <c r="G208" s="3">
        <v>5.24</v>
      </c>
      <c r="H208" s="3">
        <v>319.64</v>
      </c>
      <c r="I208" t="s">
        <v>41</v>
      </c>
      <c r="J208" t="e">
        <f t="shared" si="3"/>
        <v>#VALUE!</v>
      </c>
    </row>
    <row r="209" spans="1:10" x14ac:dyDescent="0.35">
      <c r="A209">
        <v>430</v>
      </c>
      <c r="B209" s="2">
        <v>45963</v>
      </c>
      <c r="C209" t="s">
        <v>21</v>
      </c>
      <c r="D209" t="s">
        <v>22</v>
      </c>
      <c r="E209" t="s">
        <v>11</v>
      </c>
      <c r="F209">
        <v>81</v>
      </c>
      <c r="G209" s="3">
        <v>4.79</v>
      </c>
      <c r="H209" s="3">
        <v>387.99</v>
      </c>
      <c r="I209" t="s">
        <v>41</v>
      </c>
      <c r="J209" t="e">
        <f t="shared" si="3"/>
        <v>#VALUE!</v>
      </c>
    </row>
    <row r="210" spans="1:10" x14ac:dyDescent="0.35">
      <c r="A210">
        <v>469</v>
      </c>
      <c r="B210" s="2">
        <v>45963</v>
      </c>
      <c r="C210" t="s">
        <v>30</v>
      </c>
      <c r="D210" t="s">
        <v>14</v>
      </c>
      <c r="E210" t="s">
        <v>11</v>
      </c>
      <c r="F210">
        <v>67</v>
      </c>
      <c r="G210" s="3">
        <v>4.4400000000000004</v>
      </c>
      <c r="H210" s="3">
        <v>297.48</v>
      </c>
      <c r="I210" t="s">
        <v>41</v>
      </c>
      <c r="J210" t="e">
        <f t="shared" si="3"/>
        <v>#VALUE!</v>
      </c>
    </row>
    <row r="211" spans="1:10" x14ac:dyDescent="0.35">
      <c r="A211">
        <v>300</v>
      </c>
      <c r="B211" s="2">
        <v>45964</v>
      </c>
      <c r="C211" t="s">
        <v>32</v>
      </c>
      <c r="D211" t="s">
        <v>20</v>
      </c>
      <c r="E211" t="s">
        <v>11</v>
      </c>
      <c r="F211">
        <v>7</v>
      </c>
      <c r="G211" s="3">
        <v>3.43</v>
      </c>
      <c r="H211" s="3">
        <v>24.01</v>
      </c>
      <c r="I211" t="s">
        <v>41</v>
      </c>
      <c r="J211" t="e">
        <f t="shared" si="3"/>
        <v>#VALUE!</v>
      </c>
    </row>
    <row r="212" spans="1:10" x14ac:dyDescent="0.35">
      <c r="A212">
        <v>506</v>
      </c>
      <c r="B212" s="2">
        <v>45964</v>
      </c>
      <c r="C212" t="s">
        <v>30</v>
      </c>
      <c r="D212" t="s">
        <v>14</v>
      </c>
      <c r="E212" t="s">
        <v>11</v>
      </c>
      <c r="F212">
        <v>51</v>
      </c>
      <c r="G212" s="3">
        <v>4.67</v>
      </c>
      <c r="H212" s="3">
        <v>238.17</v>
      </c>
      <c r="I212" t="s">
        <v>41</v>
      </c>
      <c r="J212" t="e">
        <f t="shared" si="3"/>
        <v>#VALUE!</v>
      </c>
    </row>
    <row r="213" spans="1:10" x14ac:dyDescent="0.35">
      <c r="A213">
        <v>513</v>
      </c>
      <c r="B213" s="2">
        <v>45964</v>
      </c>
      <c r="C213" t="s">
        <v>28</v>
      </c>
      <c r="D213" t="s">
        <v>20</v>
      </c>
      <c r="E213" t="s">
        <v>15</v>
      </c>
      <c r="F213">
        <v>54</v>
      </c>
      <c r="G213" s="3">
        <v>2.5499999999999998</v>
      </c>
      <c r="H213" s="3">
        <v>137.69999999999999</v>
      </c>
      <c r="I213" t="s">
        <v>41</v>
      </c>
      <c r="J213" t="e">
        <f t="shared" si="3"/>
        <v>#VALUE!</v>
      </c>
    </row>
    <row r="214" spans="1:10" x14ac:dyDescent="0.35">
      <c r="A214">
        <v>422</v>
      </c>
      <c r="B214" s="2">
        <v>45965</v>
      </c>
      <c r="C214" t="s">
        <v>28</v>
      </c>
      <c r="D214" t="s">
        <v>20</v>
      </c>
      <c r="E214" t="s">
        <v>15</v>
      </c>
      <c r="F214">
        <v>70</v>
      </c>
      <c r="G214" s="3">
        <v>2.59</v>
      </c>
      <c r="H214" s="3">
        <v>181.3</v>
      </c>
      <c r="I214" t="s">
        <v>41</v>
      </c>
      <c r="J214" t="e">
        <f t="shared" si="3"/>
        <v>#VALUE!</v>
      </c>
    </row>
    <row r="215" spans="1:10" x14ac:dyDescent="0.35">
      <c r="A215">
        <v>35</v>
      </c>
      <c r="B215" s="2">
        <v>45966</v>
      </c>
      <c r="C215" t="s">
        <v>26</v>
      </c>
      <c r="D215" t="s">
        <v>27</v>
      </c>
      <c r="E215" t="s">
        <v>15</v>
      </c>
      <c r="F215">
        <v>48</v>
      </c>
      <c r="G215" s="3">
        <v>2.41</v>
      </c>
      <c r="H215" s="3">
        <v>115.68</v>
      </c>
      <c r="I215" t="s">
        <v>41</v>
      </c>
      <c r="J215" t="e">
        <f t="shared" si="3"/>
        <v>#VALUE!</v>
      </c>
    </row>
    <row r="216" spans="1:10" x14ac:dyDescent="0.35">
      <c r="A216">
        <v>535</v>
      </c>
      <c r="B216" s="2">
        <v>45966</v>
      </c>
      <c r="C216" t="s">
        <v>34</v>
      </c>
      <c r="D216" t="s">
        <v>10</v>
      </c>
      <c r="E216" t="s">
        <v>15</v>
      </c>
      <c r="F216">
        <v>61</v>
      </c>
      <c r="G216" s="3">
        <v>3.85</v>
      </c>
      <c r="H216" s="3">
        <v>234.85</v>
      </c>
      <c r="I216" t="s">
        <v>41</v>
      </c>
      <c r="J216" t="e">
        <f t="shared" si="3"/>
        <v>#VALUE!</v>
      </c>
    </row>
    <row r="217" spans="1:10" x14ac:dyDescent="0.35">
      <c r="A217">
        <v>416</v>
      </c>
      <c r="B217" s="2">
        <v>45967</v>
      </c>
      <c r="C217" t="s">
        <v>34</v>
      </c>
      <c r="D217" t="s">
        <v>10</v>
      </c>
      <c r="E217" t="s">
        <v>15</v>
      </c>
      <c r="F217">
        <v>57</v>
      </c>
      <c r="G217" s="3">
        <v>3.88</v>
      </c>
      <c r="H217" s="3">
        <v>221.16</v>
      </c>
      <c r="I217" t="s">
        <v>41</v>
      </c>
      <c r="J217" t="e">
        <f t="shared" si="3"/>
        <v>#VALUE!</v>
      </c>
    </row>
    <row r="218" spans="1:10" x14ac:dyDescent="0.35">
      <c r="A218">
        <v>149</v>
      </c>
      <c r="B218" s="2">
        <v>45968</v>
      </c>
      <c r="C218" t="s">
        <v>13</v>
      </c>
      <c r="D218" t="s">
        <v>14</v>
      </c>
      <c r="E218" t="s">
        <v>15</v>
      </c>
      <c r="F218">
        <v>74</v>
      </c>
      <c r="G218" s="3">
        <v>1.85</v>
      </c>
      <c r="H218" s="3">
        <v>136.9</v>
      </c>
      <c r="I218" t="s">
        <v>41</v>
      </c>
      <c r="J218" t="e">
        <f t="shared" si="3"/>
        <v>#VALUE!</v>
      </c>
    </row>
    <row r="219" spans="1:10" x14ac:dyDescent="0.35">
      <c r="A219">
        <v>164</v>
      </c>
      <c r="B219" s="2">
        <v>45968</v>
      </c>
      <c r="C219" t="s">
        <v>25</v>
      </c>
      <c r="D219" t="s">
        <v>17</v>
      </c>
      <c r="E219" t="s">
        <v>15</v>
      </c>
      <c r="F219">
        <v>45</v>
      </c>
      <c r="G219" s="3">
        <v>2.04</v>
      </c>
      <c r="H219" s="3">
        <v>91.8</v>
      </c>
      <c r="I219" t="s">
        <v>41</v>
      </c>
      <c r="J219" t="e">
        <f t="shared" si="3"/>
        <v>#VALUE!</v>
      </c>
    </row>
    <row r="220" spans="1:10" x14ac:dyDescent="0.35">
      <c r="A220">
        <v>425</v>
      </c>
      <c r="B220" s="2">
        <v>45969</v>
      </c>
      <c r="C220" t="s">
        <v>16</v>
      </c>
      <c r="D220" t="s">
        <v>17</v>
      </c>
      <c r="E220" t="s">
        <v>15</v>
      </c>
      <c r="F220">
        <v>63</v>
      </c>
      <c r="G220" s="3">
        <v>2.2599999999999998</v>
      </c>
      <c r="H220" s="3">
        <v>142.38</v>
      </c>
      <c r="I220" t="s">
        <v>41</v>
      </c>
      <c r="J220" t="e">
        <f t="shared" si="3"/>
        <v>#VALUE!</v>
      </c>
    </row>
    <row r="221" spans="1:10" x14ac:dyDescent="0.35">
      <c r="A221">
        <v>154</v>
      </c>
      <c r="B221" s="2">
        <v>45970</v>
      </c>
      <c r="C221" t="s">
        <v>16</v>
      </c>
      <c r="D221" t="s">
        <v>17</v>
      </c>
      <c r="E221" t="s">
        <v>15</v>
      </c>
      <c r="F221">
        <v>73</v>
      </c>
      <c r="G221" s="3">
        <v>2.29</v>
      </c>
      <c r="H221" s="3">
        <v>167.17</v>
      </c>
      <c r="I221" t="s">
        <v>41</v>
      </c>
      <c r="J221" t="e">
        <f t="shared" si="3"/>
        <v>#VALUE!</v>
      </c>
    </row>
    <row r="222" spans="1:10" x14ac:dyDescent="0.35">
      <c r="A222">
        <v>169</v>
      </c>
      <c r="B222" s="2">
        <v>45971</v>
      </c>
      <c r="C222" t="s">
        <v>25</v>
      </c>
      <c r="D222" t="s">
        <v>17</v>
      </c>
      <c r="E222" t="s">
        <v>15</v>
      </c>
      <c r="F222">
        <v>59</v>
      </c>
      <c r="G222" s="3">
        <v>2.06</v>
      </c>
      <c r="H222" s="3">
        <v>121.54</v>
      </c>
      <c r="I222" t="s">
        <v>41</v>
      </c>
      <c r="J222" t="e">
        <f t="shared" si="3"/>
        <v>#VALUE!</v>
      </c>
    </row>
    <row r="223" spans="1:10" x14ac:dyDescent="0.35">
      <c r="A223">
        <v>352</v>
      </c>
      <c r="B223" s="2">
        <v>45972</v>
      </c>
      <c r="C223" t="s">
        <v>34</v>
      </c>
      <c r="D223" t="s">
        <v>10</v>
      </c>
      <c r="E223" t="s">
        <v>15</v>
      </c>
      <c r="F223">
        <v>74</v>
      </c>
      <c r="G223" s="3">
        <v>3.96</v>
      </c>
      <c r="H223" s="3">
        <v>293.04000000000002</v>
      </c>
      <c r="I223" t="s">
        <v>41</v>
      </c>
      <c r="J223" t="e">
        <f t="shared" si="3"/>
        <v>#VALUE!</v>
      </c>
    </row>
    <row r="224" spans="1:10" x14ac:dyDescent="0.35">
      <c r="A224">
        <v>44</v>
      </c>
      <c r="B224" s="2">
        <v>45973</v>
      </c>
      <c r="C224" t="s">
        <v>23</v>
      </c>
      <c r="D224" t="s">
        <v>17</v>
      </c>
      <c r="E224" t="s">
        <v>11</v>
      </c>
      <c r="F224">
        <v>24</v>
      </c>
      <c r="G224" s="3">
        <v>6.14</v>
      </c>
      <c r="H224" s="3">
        <v>147.36000000000001</v>
      </c>
      <c r="I224" t="s">
        <v>41</v>
      </c>
      <c r="J224" t="e">
        <f t="shared" si="3"/>
        <v>#VALUE!</v>
      </c>
    </row>
    <row r="225" spans="1:10" x14ac:dyDescent="0.35">
      <c r="A225">
        <v>93</v>
      </c>
      <c r="B225" s="2">
        <v>45974</v>
      </c>
      <c r="C225" t="s">
        <v>18</v>
      </c>
      <c r="D225" t="s">
        <v>10</v>
      </c>
      <c r="E225" t="s">
        <v>15</v>
      </c>
      <c r="F225">
        <v>49</v>
      </c>
      <c r="G225" s="3">
        <v>6.41</v>
      </c>
      <c r="H225" s="3">
        <v>314.08999999999997</v>
      </c>
      <c r="I225" t="s">
        <v>41</v>
      </c>
      <c r="J225" t="e">
        <f t="shared" si="3"/>
        <v>#VALUE!</v>
      </c>
    </row>
    <row r="226" spans="1:10" x14ac:dyDescent="0.35">
      <c r="A226">
        <v>344</v>
      </c>
      <c r="B226" s="2">
        <v>45974</v>
      </c>
      <c r="C226" t="s">
        <v>29</v>
      </c>
      <c r="D226" t="s">
        <v>22</v>
      </c>
      <c r="E226" t="s">
        <v>15</v>
      </c>
      <c r="F226">
        <v>49</v>
      </c>
      <c r="G226" s="3">
        <v>1.5</v>
      </c>
      <c r="H226" s="3">
        <v>73.5</v>
      </c>
      <c r="I226" t="s">
        <v>41</v>
      </c>
      <c r="J226" t="e">
        <f t="shared" si="3"/>
        <v>#VALUE!</v>
      </c>
    </row>
    <row r="227" spans="1:10" x14ac:dyDescent="0.35">
      <c r="A227">
        <v>483</v>
      </c>
      <c r="B227" s="2">
        <v>45974</v>
      </c>
      <c r="C227" t="s">
        <v>18</v>
      </c>
      <c r="D227" t="s">
        <v>10</v>
      </c>
      <c r="E227" t="s">
        <v>15</v>
      </c>
      <c r="F227">
        <v>49</v>
      </c>
      <c r="G227" s="3">
        <v>6.04</v>
      </c>
      <c r="H227" s="3">
        <v>295.95999999999998</v>
      </c>
      <c r="I227" t="s">
        <v>41</v>
      </c>
      <c r="J227" t="e">
        <f t="shared" si="3"/>
        <v>#VALUE!</v>
      </c>
    </row>
    <row r="228" spans="1:10" x14ac:dyDescent="0.35">
      <c r="A228">
        <v>25</v>
      </c>
      <c r="B228" s="2">
        <v>45975</v>
      </c>
      <c r="C228" t="s">
        <v>25</v>
      </c>
      <c r="D228" t="s">
        <v>17</v>
      </c>
      <c r="E228" t="s">
        <v>15</v>
      </c>
      <c r="F228">
        <v>38</v>
      </c>
      <c r="G228" s="3">
        <v>1.94</v>
      </c>
      <c r="H228" s="3">
        <v>73.72</v>
      </c>
      <c r="I228" t="s">
        <v>41</v>
      </c>
      <c r="J228" t="e">
        <f t="shared" si="3"/>
        <v>#VALUE!</v>
      </c>
    </row>
    <row r="229" spans="1:10" x14ac:dyDescent="0.35">
      <c r="A229">
        <v>411</v>
      </c>
      <c r="B229" s="2">
        <v>45975</v>
      </c>
      <c r="C229" t="s">
        <v>33</v>
      </c>
      <c r="D229" t="s">
        <v>20</v>
      </c>
      <c r="E229" t="s">
        <v>11</v>
      </c>
      <c r="F229">
        <v>51</v>
      </c>
      <c r="G229" s="3">
        <v>5.34</v>
      </c>
      <c r="H229" s="3">
        <v>272.33999999999997</v>
      </c>
      <c r="I229" t="s">
        <v>41</v>
      </c>
      <c r="J229" t="e">
        <f t="shared" si="3"/>
        <v>#VALUE!</v>
      </c>
    </row>
    <row r="230" spans="1:10" x14ac:dyDescent="0.35">
      <c r="A230">
        <v>121</v>
      </c>
      <c r="B230" s="2">
        <v>45976</v>
      </c>
      <c r="C230" t="s">
        <v>29</v>
      </c>
      <c r="D230" t="s">
        <v>22</v>
      </c>
      <c r="E230" t="s">
        <v>15</v>
      </c>
      <c r="F230">
        <v>49</v>
      </c>
      <c r="G230" s="3">
        <v>1.62</v>
      </c>
      <c r="H230" s="3">
        <v>79.38</v>
      </c>
      <c r="I230" t="s">
        <v>41</v>
      </c>
      <c r="J230" t="e">
        <f t="shared" si="3"/>
        <v>#VALUE!</v>
      </c>
    </row>
    <row r="231" spans="1:10" x14ac:dyDescent="0.35">
      <c r="A231">
        <v>147</v>
      </c>
      <c r="B231" s="2">
        <v>45977</v>
      </c>
      <c r="C231" t="s">
        <v>30</v>
      </c>
      <c r="D231" t="s">
        <v>14</v>
      </c>
      <c r="E231" t="s">
        <v>11</v>
      </c>
      <c r="F231">
        <v>13</v>
      </c>
      <c r="G231" s="3">
        <v>4.54</v>
      </c>
      <c r="H231" s="3">
        <v>59.02</v>
      </c>
      <c r="I231" t="s">
        <v>41</v>
      </c>
      <c r="J231" t="e">
        <f t="shared" si="3"/>
        <v>#VALUE!</v>
      </c>
    </row>
    <row r="232" spans="1:10" x14ac:dyDescent="0.35">
      <c r="A232">
        <v>516</v>
      </c>
      <c r="B232" s="2">
        <v>45977</v>
      </c>
      <c r="C232" t="s">
        <v>21</v>
      </c>
      <c r="D232" t="s">
        <v>22</v>
      </c>
      <c r="E232" t="s">
        <v>11</v>
      </c>
      <c r="F232">
        <v>46</v>
      </c>
      <c r="G232" s="3">
        <v>4.8600000000000003</v>
      </c>
      <c r="H232" s="3">
        <v>223.56</v>
      </c>
      <c r="I232" t="s">
        <v>41</v>
      </c>
      <c r="J232" t="e">
        <f t="shared" si="3"/>
        <v>#VALUE!</v>
      </c>
    </row>
    <row r="233" spans="1:10" x14ac:dyDescent="0.35">
      <c r="A233">
        <v>551</v>
      </c>
      <c r="B233" s="2">
        <v>45977</v>
      </c>
      <c r="C233" t="s">
        <v>32</v>
      </c>
      <c r="D233" t="s">
        <v>20</v>
      </c>
      <c r="E233" t="s">
        <v>11</v>
      </c>
      <c r="F233">
        <v>64</v>
      </c>
      <c r="G233" s="3">
        <v>3.28</v>
      </c>
      <c r="H233" s="3">
        <v>209.92</v>
      </c>
      <c r="I233" t="s">
        <v>41</v>
      </c>
      <c r="J233" t="e">
        <f t="shared" si="3"/>
        <v>#VALUE!</v>
      </c>
    </row>
    <row r="234" spans="1:10" x14ac:dyDescent="0.35">
      <c r="A234">
        <v>38</v>
      </c>
      <c r="B234" s="2">
        <v>45978</v>
      </c>
      <c r="C234" t="s">
        <v>9</v>
      </c>
      <c r="D234" t="s">
        <v>10</v>
      </c>
      <c r="E234" t="s">
        <v>11</v>
      </c>
      <c r="F234">
        <v>48</v>
      </c>
      <c r="G234" s="3">
        <v>12.39</v>
      </c>
      <c r="H234" s="3">
        <v>594.72</v>
      </c>
      <c r="I234" t="s">
        <v>41</v>
      </c>
      <c r="J234" t="e">
        <f t="shared" si="3"/>
        <v>#VALUE!</v>
      </c>
    </row>
    <row r="235" spans="1:10" x14ac:dyDescent="0.35">
      <c r="A235">
        <v>557</v>
      </c>
      <c r="B235" s="2">
        <v>45978</v>
      </c>
      <c r="C235" t="s">
        <v>28</v>
      </c>
      <c r="D235" t="s">
        <v>20</v>
      </c>
      <c r="E235" t="s">
        <v>15</v>
      </c>
      <c r="F235">
        <v>62</v>
      </c>
      <c r="G235" s="3">
        <v>2.54</v>
      </c>
      <c r="H235" s="3">
        <v>157.47999999999999</v>
      </c>
      <c r="I235" t="s">
        <v>41</v>
      </c>
      <c r="J235" t="e">
        <f t="shared" si="3"/>
        <v>#VALUE!</v>
      </c>
    </row>
    <row r="236" spans="1:10" x14ac:dyDescent="0.35">
      <c r="A236">
        <v>179</v>
      </c>
      <c r="B236" s="2">
        <v>45979</v>
      </c>
      <c r="C236" t="s">
        <v>33</v>
      </c>
      <c r="D236" t="s">
        <v>20</v>
      </c>
      <c r="E236" t="s">
        <v>11</v>
      </c>
      <c r="F236">
        <v>42</v>
      </c>
      <c r="G236" s="3">
        <v>5.36</v>
      </c>
      <c r="H236" s="3">
        <v>225.12</v>
      </c>
      <c r="I236" t="s">
        <v>41</v>
      </c>
      <c r="J236" t="e">
        <f t="shared" si="3"/>
        <v>#VALUE!</v>
      </c>
    </row>
    <row r="237" spans="1:10" x14ac:dyDescent="0.35">
      <c r="A237">
        <v>358</v>
      </c>
      <c r="B237" s="2">
        <v>45979</v>
      </c>
      <c r="C237" t="s">
        <v>9</v>
      </c>
      <c r="D237" t="s">
        <v>10</v>
      </c>
      <c r="E237" t="s">
        <v>11</v>
      </c>
      <c r="F237">
        <v>45</v>
      </c>
      <c r="G237" s="3">
        <v>11.83</v>
      </c>
      <c r="H237" s="3">
        <v>532.35</v>
      </c>
      <c r="I237" t="s">
        <v>41</v>
      </c>
      <c r="J237" t="e">
        <f t="shared" si="3"/>
        <v>#VALUE!</v>
      </c>
    </row>
    <row r="238" spans="1:10" x14ac:dyDescent="0.35">
      <c r="A238">
        <v>57</v>
      </c>
      <c r="B238" s="2">
        <v>45980</v>
      </c>
      <c r="C238" t="s">
        <v>9</v>
      </c>
      <c r="D238" t="s">
        <v>10</v>
      </c>
      <c r="E238" t="s">
        <v>11</v>
      </c>
      <c r="F238">
        <v>46</v>
      </c>
      <c r="G238" s="3">
        <v>12.08</v>
      </c>
      <c r="H238" s="3">
        <v>555.67999999999995</v>
      </c>
      <c r="I238" t="s">
        <v>41</v>
      </c>
      <c r="J238" t="e">
        <f t="shared" si="3"/>
        <v>#VALUE!</v>
      </c>
    </row>
    <row r="239" spans="1:10" x14ac:dyDescent="0.35">
      <c r="A239">
        <v>424</v>
      </c>
      <c r="B239" s="2">
        <v>45980</v>
      </c>
      <c r="C239" t="s">
        <v>37</v>
      </c>
      <c r="D239" t="s">
        <v>27</v>
      </c>
      <c r="E239" t="s">
        <v>11</v>
      </c>
      <c r="F239">
        <v>38</v>
      </c>
      <c r="G239" s="3">
        <v>7.87</v>
      </c>
      <c r="H239" s="3">
        <v>299.06</v>
      </c>
      <c r="I239" t="s">
        <v>41</v>
      </c>
      <c r="J239" t="e">
        <f t="shared" si="3"/>
        <v>#VALUE!</v>
      </c>
    </row>
    <row r="240" spans="1:10" x14ac:dyDescent="0.35">
      <c r="A240">
        <v>213</v>
      </c>
      <c r="B240" s="2">
        <v>45981</v>
      </c>
      <c r="C240" t="s">
        <v>26</v>
      </c>
      <c r="D240" t="s">
        <v>27</v>
      </c>
      <c r="E240" t="s">
        <v>15</v>
      </c>
      <c r="F240">
        <v>69</v>
      </c>
      <c r="G240" s="3">
        <v>2.39</v>
      </c>
      <c r="H240" s="3">
        <v>164.91</v>
      </c>
      <c r="I240" t="s">
        <v>41</v>
      </c>
      <c r="J240" t="e">
        <f t="shared" si="3"/>
        <v>#VALUE!</v>
      </c>
    </row>
    <row r="241" spans="1:10" x14ac:dyDescent="0.35">
      <c r="A241">
        <v>62</v>
      </c>
      <c r="B241" s="2">
        <v>45982</v>
      </c>
      <c r="C241" t="s">
        <v>37</v>
      </c>
      <c r="D241" t="s">
        <v>27</v>
      </c>
      <c r="E241" t="s">
        <v>11</v>
      </c>
      <c r="F241">
        <v>31</v>
      </c>
      <c r="G241" s="3">
        <v>8.34</v>
      </c>
      <c r="H241" s="3">
        <v>258.54000000000002</v>
      </c>
      <c r="I241" t="s">
        <v>41</v>
      </c>
      <c r="J241" t="e">
        <f t="shared" si="3"/>
        <v>#VALUE!</v>
      </c>
    </row>
    <row r="242" spans="1:10" x14ac:dyDescent="0.35">
      <c r="A242">
        <v>288</v>
      </c>
      <c r="B242" s="2">
        <v>45983</v>
      </c>
      <c r="C242" t="s">
        <v>18</v>
      </c>
      <c r="D242" t="s">
        <v>10</v>
      </c>
      <c r="E242" t="s">
        <v>15</v>
      </c>
      <c r="F242">
        <v>70</v>
      </c>
      <c r="G242" s="3">
        <v>5.71</v>
      </c>
      <c r="H242" s="3">
        <v>399.7</v>
      </c>
      <c r="I242" t="s">
        <v>41</v>
      </c>
      <c r="J242" t="e">
        <f t="shared" si="3"/>
        <v>#VALUE!</v>
      </c>
    </row>
    <row r="243" spans="1:10" x14ac:dyDescent="0.35">
      <c r="A243">
        <v>136</v>
      </c>
      <c r="B243" s="2">
        <v>45984</v>
      </c>
      <c r="C243" t="s">
        <v>16</v>
      </c>
      <c r="D243" t="s">
        <v>17</v>
      </c>
      <c r="E243" t="s">
        <v>15</v>
      </c>
      <c r="F243">
        <v>47</v>
      </c>
      <c r="G243" s="3">
        <v>2.2999999999999998</v>
      </c>
      <c r="H243" s="3">
        <v>108.1</v>
      </c>
      <c r="I243" t="s">
        <v>41</v>
      </c>
      <c r="J243" t="e">
        <f t="shared" si="3"/>
        <v>#VALUE!</v>
      </c>
    </row>
    <row r="244" spans="1:10" x14ac:dyDescent="0.35">
      <c r="A244">
        <v>224</v>
      </c>
      <c r="B244" s="2">
        <v>45984</v>
      </c>
      <c r="C244" t="s">
        <v>28</v>
      </c>
      <c r="D244" t="s">
        <v>20</v>
      </c>
      <c r="E244" t="s">
        <v>15</v>
      </c>
      <c r="F244">
        <v>49</v>
      </c>
      <c r="G244" s="3">
        <v>2.38</v>
      </c>
      <c r="H244" s="3">
        <v>116.62</v>
      </c>
      <c r="I244" t="s">
        <v>41</v>
      </c>
      <c r="J244" t="e">
        <f t="shared" si="3"/>
        <v>#VALUE!</v>
      </c>
    </row>
    <row r="245" spans="1:10" x14ac:dyDescent="0.35">
      <c r="A245">
        <v>34</v>
      </c>
      <c r="B245" s="2">
        <v>45985</v>
      </c>
      <c r="C245" t="s">
        <v>23</v>
      </c>
      <c r="D245" t="s">
        <v>17</v>
      </c>
      <c r="E245" t="s">
        <v>11</v>
      </c>
      <c r="F245">
        <v>60</v>
      </c>
      <c r="G245" s="3">
        <v>5.84</v>
      </c>
      <c r="H245" s="3">
        <v>350.4</v>
      </c>
      <c r="I245" t="s">
        <v>41</v>
      </c>
      <c r="J245" t="e">
        <f t="shared" si="3"/>
        <v>#VALUE!</v>
      </c>
    </row>
    <row r="246" spans="1:10" x14ac:dyDescent="0.35">
      <c r="A246">
        <v>63</v>
      </c>
      <c r="B246" s="2">
        <v>45985</v>
      </c>
      <c r="C246" t="s">
        <v>31</v>
      </c>
      <c r="D246" t="s">
        <v>14</v>
      </c>
      <c r="E246" t="s">
        <v>11</v>
      </c>
      <c r="F246">
        <v>73</v>
      </c>
      <c r="G246" s="3">
        <v>6.39</v>
      </c>
      <c r="H246" s="3">
        <v>466.47</v>
      </c>
      <c r="I246" t="s">
        <v>41</v>
      </c>
      <c r="J246" t="e">
        <f t="shared" si="3"/>
        <v>#VALUE!</v>
      </c>
    </row>
    <row r="247" spans="1:10" x14ac:dyDescent="0.35">
      <c r="A247">
        <v>101</v>
      </c>
      <c r="B247" s="2">
        <v>45985</v>
      </c>
      <c r="C247" t="s">
        <v>32</v>
      </c>
      <c r="D247" t="s">
        <v>20</v>
      </c>
      <c r="E247" t="s">
        <v>11</v>
      </c>
      <c r="F247">
        <v>36</v>
      </c>
      <c r="G247" s="3">
        <v>3.16</v>
      </c>
      <c r="H247" s="3">
        <v>113.76</v>
      </c>
      <c r="I247" t="s">
        <v>41</v>
      </c>
      <c r="J247" t="e">
        <f t="shared" si="3"/>
        <v>#VALUE!</v>
      </c>
    </row>
    <row r="248" spans="1:10" x14ac:dyDescent="0.35">
      <c r="A248">
        <v>487</v>
      </c>
      <c r="B248" s="2">
        <v>45985</v>
      </c>
      <c r="C248" t="s">
        <v>32</v>
      </c>
      <c r="D248" t="s">
        <v>20</v>
      </c>
      <c r="E248" t="s">
        <v>11</v>
      </c>
      <c r="F248">
        <v>32</v>
      </c>
      <c r="G248" s="3">
        <v>3.22</v>
      </c>
      <c r="H248" s="3">
        <v>103.04</v>
      </c>
      <c r="I248" t="s">
        <v>41</v>
      </c>
      <c r="J248" t="e">
        <f t="shared" si="3"/>
        <v>#VALUE!</v>
      </c>
    </row>
    <row r="249" spans="1:10" x14ac:dyDescent="0.35">
      <c r="A249">
        <v>492</v>
      </c>
      <c r="B249" s="2">
        <v>45985</v>
      </c>
      <c r="C249" t="s">
        <v>31</v>
      </c>
      <c r="D249" t="s">
        <v>14</v>
      </c>
      <c r="E249" t="s">
        <v>11</v>
      </c>
      <c r="F249">
        <v>55</v>
      </c>
      <c r="G249" s="3">
        <v>6.81</v>
      </c>
      <c r="H249" s="3">
        <v>374.55</v>
      </c>
      <c r="I249" t="s">
        <v>41</v>
      </c>
      <c r="J249" t="e">
        <f t="shared" si="3"/>
        <v>#VALUE!</v>
      </c>
    </row>
    <row r="250" spans="1:10" x14ac:dyDescent="0.35">
      <c r="A250">
        <v>97</v>
      </c>
      <c r="B250" s="2">
        <v>45986</v>
      </c>
      <c r="C250" t="s">
        <v>32</v>
      </c>
      <c r="D250" t="s">
        <v>20</v>
      </c>
      <c r="E250" t="s">
        <v>11</v>
      </c>
      <c r="F250">
        <v>67</v>
      </c>
      <c r="G250" s="3">
        <v>3.28</v>
      </c>
      <c r="H250" s="3">
        <v>219.76</v>
      </c>
      <c r="I250" t="s">
        <v>41</v>
      </c>
      <c r="J250" t="e">
        <f t="shared" si="3"/>
        <v>#VALUE!</v>
      </c>
    </row>
    <row r="251" spans="1:10" x14ac:dyDescent="0.35">
      <c r="A251">
        <v>423</v>
      </c>
      <c r="B251" s="2">
        <v>45986</v>
      </c>
      <c r="C251" t="s">
        <v>9</v>
      </c>
      <c r="D251" t="s">
        <v>10</v>
      </c>
      <c r="E251" t="s">
        <v>11</v>
      </c>
      <c r="F251">
        <v>65</v>
      </c>
      <c r="G251" s="3">
        <v>12.63</v>
      </c>
      <c r="H251" s="3">
        <v>820.95</v>
      </c>
      <c r="I251" t="s">
        <v>41</v>
      </c>
      <c r="J251" t="e">
        <f t="shared" si="3"/>
        <v>#VALUE!</v>
      </c>
    </row>
    <row r="252" spans="1:10" x14ac:dyDescent="0.35">
      <c r="A252">
        <v>331</v>
      </c>
      <c r="B252" s="2">
        <v>45987</v>
      </c>
      <c r="C252" t="s">
        <v>19</v>
      </c>
      <c r="D252" t="s">
        <v>20</v>
      </c>
      <c r="E252" t="s">
        <v>15</v>
      </c>
      <c r="F252">
        <v>35</v>
      </c>
      <c r="G252" s="3">
        <v>2.93</v>
      </c>
      <c r="H252" s="3">
        <v>102.55</v>
      </c>
      <c r="I252" t="s">
        <v>41</v>
      </c>
      <c r="J252" t="e">
        <f t="shared" si="3"/>
        <v>#VALUE!</v>
      </c>
    </row>
    <row r="253" spans="1:10" x14ac:dyDescent="0.35">
      <c r="A253">
        <v>177</v>
      </c>
      <c r="B253" s="2">
        <v>45988</v>
      </c>
      <c r="C253" t="s">
        <v>23</v>
      </c>
      <c r="D253" t="s">
        <v>17</v>
      </c>
      <c r="E253" t="s">
        <v>11</v>
      </c>
      <c r="F253">
        <v>40</v>
      </c>
      <c r="G253" s="3">
        <v>5.77</v>
      </c>
      <c r="H253" s="3">
        <v>230.8</v>
      </c>
      <c r="I253" t="s">
        <v>41</v>
      </c>
      <c r="J253" t="e">
        <f t="shared" si="3"/>
        <v>#VALUE!</v>
      </c>
    </row>
    <row r="254" spans="1:10" x14ac:dyDescent="0.35">
      <c r="A254">
        <v>453</v>
      </c>
      <c r="B254" s="2">
        <v>45988</v>
      </c>
      <c r="C254" t="s">
        <v>18</v>
      </c>
      <c r="D254" t="s">
        <v>10</v>
      </c>
      <c r="E254" t="s">
        <v>15</v>
      </c>
      <c r="F254">
        <v>62</v>
      </c>
      <c r="G254" s="3">
        <v>6.19</v>
      </c>
      <c r="H254" s="3">
        <v>383.78</v>
      </c>
      <c r="I254" t="s">
        <v>41</v>
      </c>
      <c r="J254" t="e">
        <f t="shared" si="3"/>
        <v>#VALUE!</v>
      </c>
    </row>
    <row r="255" spans="1:10" x14ac:dyDescent="0.35">
      <c r="A255">
        <v>36</v>
      </c>
      <c r="B255" s="2">
        <v>45989</v>
      </c>
      <c r="C255" t="s">
        <v>13</v>
      </c>
      <c r="D255" t="s">
        <v>14</v>
      </c>
      <c r="E255" t="s">
        <v>15</v>
      </c>
      <c r="F255">
        <v>39</v>
      </c>
      <c r="G255" s="3">
        <v>1.86</v>
      </c>
      <c r="H255" s="3">
        <v>72.540000000000006</v>
      </c>
      <c r="I255" t="s">
        <v>41</v>
      </c>
      <c r="J255" t="e">
        <f t="shared" si="3"/>
        <v>#VALUE!</v>
      </c>
    </row>
    <row r="256" spans="1:10" x14ac:dyDescent="0.35">
      <c r="A256">
        <v>82</v>
      </c>
      <c r="B256" s="2">
        <v>45990</v>
      </c>
      <c r="C256" t="s">
        <v>13</v>
      </c>
      <c r="D256" t="s">
        <v>14</v>
      </c>
      <c r="E256" t="s">
        <v>15</v>
      </c>
      <c r="F256">
        <v>33</v>
      </c>
      <c r="G256" s="3">
        <v>1.87</v>
      </c>
      <c r="H256" s="3">
        <v>61.71</v>
      </c>
      <c r="I256" t="s">
        <v>41</v>
      </c>
      <c r="J256" t="e">
        <f t="shared" si="3"/>
        <v>#VALUE!</v>
      </c>
    </row>
    <row r="257" spans="1:10" x14ac:dyDescent="0.35">
      <c r="A257">
        <v>141</v>
      </c>
      <c r="B257" s="2">
        <v>45990</v>
      </c>
      <c r="C257" t="s">
        <v>32</v>
      </c>
      <c r="D257" t="s">
        <v>20</v>
      </c>
      <c r="E257" t="s">
        <v>11</v>
      </c>
      <c r="F257">
        <v>5</v>
      </c>
      <c r="G257" s="3">
        <v>3.45</v>
      </c>
      <c r="H257" s="3">
        <v>17.25</v>
      </c>
      <c r="I257" t="s">
        <v>41</v>
      </c>
      <c r="J257" t="e">
        <f t="shared" si="3"/>
        <v>#VALUE!</v>
      </c>
    </row>
    <row r="258" spans="1:10" x14ac:dyDescent="0.35">
      <c r="A258">
        <v>378</v>
      </c>
      <c r="B258" s="2">
        <v>45990</v>
      </c>
      <c r="C258" t="s">
        <v>26</v>
      </c>
      <c r="D258" t="s">
        <v>27</v>
      </c>
      <c r="E258" t="s">
        <v>15</v>
      </c>
      <c r="F258">
        <v>58</v>
      </c>
      <c r="G258" s="3">
        <v>2.61</v>
      </c>
      <c r="H258" s="3">
        <v>151.38</v>
      </c>
      <c r="I258" t="s">
        <v>41</v>
      </c>
      <c r="J258" t="e">
        <f t="shared" ref="J258:J321" si="4">(I259-I258)/I258</f>
        <v>#VALUE!</v>
      </c>
    </row>
    <row r="259" spans="1:10" x14ac:dyDescent="0.35">
      <c r="A259">
        <v>588</v>
      </c>
      <c r="B259" s="2">
        <v>45992</v>
      </c>
      <c r="C259" t="s">
        <v>19</v>
      </c>
      <c r="D259" t="s">
        <v>20</v>
      </c>
      <c r="E259" t="s">
        <v>15</v>
      </c>
      <c r="F259">
        <v>30</v>
      </c>
      <c r="G259" s="3">
        <v>3.16</v>
      </c>
      <c r="H259" s="3">
        <v>94.8</v>
      </c>
      <c r="I259" t="s">
        <v>42</v>
      </c>
      <c r="J259" t="e">
        <f t="shared" si="4"/>
        <v>#VALUE!</v>
      </c>
    </row>
    <row r="260" spans="1:10" x14ac:dyDescent="0.35">
      <c r="A260">
        <v>53</v>
      </c>
      <c r="B260" s="2">
        <v>45993</v>
      </c>
      <c r="C260" t="s">
        <v>9</v>
      </c>
      <c r="D260" t="s">
        <v>10</v>
      </c>
      <c r="E260" t="s">
        <v>11</v>
      </c>
      <c r="F260">
        <v>60</v>
      </c>
      <c r="G260" s="3">
        <v>12.5</v>
      </c>
      <c r="H260" s="3">
        <v>750</v>
      </c>
      <c r="I260" t="s">
        <v>42</v>
      </c>
      <c r="J260" t="e">
        <f t="shared" si="4"/>
        <v>#VALUE!</v>
      </c>
    </row>
    <row r="261" spans="1:10" x14ac:dyDescent="0.35">
      <c r="A261">
        <v>509</v>
      </c>
      <c r="B261" s="2">
        <v>45993</v>
      </c>
      <c r="C261" t="s">
        <v>28</v>
      </c>
      <c r="D261" t="s">
        <v>20</v>
      </c>
      <c r="E261" t="s">
        <v>15</v>
      </c>
      <c r="F261">
        <v>35</v>
      </c>
      <c r="G261" s="3">
        <v>2.38</v>
      </c>
      <c r="H261" s="3">
        <v>83.3</v>
      </c>
      <c r="I261" t="s">
        <v>42</v>
      </c>
      <c r="J261" t="e">
        <f t="shared" si="4"/>
        <v>#VALUE!</v>
      </c>
    </row>
    <row r="262" spans="1:10" x14ac:dyDescent="0.35">
      <c r="A262">
        <v>254</v>
      </c>
      <c r="B262" s="2">
        <v>45995</v>
      </c>
      <c r="C262" t="s">
        <v>33</v>
      </c>
      <c r="D262" t="s">
        <v>20</v>
      </c>
      <c r="E262" t="s">
        <v>11</v>
      </c>
      <c r="F262">
        <v>41</v>
      </c>
      <c r="G262" s="3">
        <v>5.28</v>
      </c>
      <c r="H262" s="3">
        <v>216.48</v>
      </c>
      <c r="I262" t="s">
        <v>42</v>
      </c>
      <c r="J262" t="e">
        <f t="shared" si="4"/>
        <v>#VALUE!</v>
      </c>
    </row>
    <row r="263" spans="1:10" x14ac:dyDescent="0.35">
      <c r="A263">
        <v>320</v>
      </c>
      <c r="B263" s="2">
        <v>45995</v>
      </c>
      <c r="C263" t="s">
        <v>21</v>
      </c>
      <c r="D263" t="s">
        <v>22</v>
      </c>
      <c r="E263" t="s">
        <v>11</v>
      </c>
      <c r="F263">
        <v>87</v>
      </c>
      <c r="G263" s="3">
        <v>5.13</v>
      </c>
      <c r="H263" s="3">
        <v>446.31</v>
      </c>
      <c r="I263" t="s">
        <v>42</v>
      </c>
      <c r="J263" t="e">
        <f t="shared" si="4"/>
        <v>#VALUE!</v>
      </c>
    </row>
    <row r="264" spans="1:10" x14ac:dyDescent="0.35">
      <c r="A264">
        <v>490</v>
      </c>
      <c r="B264" s="2">
        <v>45996</v>
      </c>
      <c r="C264" t="s">
        <v>24</v>
      </c>
      <c r="D264" t="s">
        <v>10</v>
      </c>
      <c r="E264" t="s">
        <v>11</v>
      </c>
      <c r="F264">
        <v>52</v>
      </c>
      <c r="G264" s="3">
        <v>14.33</v>
      </c>
      <c r="H264" s="3">
        <v>745.16</v>
      </c>
      <c r="I264" t="s">
        <v>42</v>
      </c>
      <c r="J264" t="e">
        <f t="shared" si="4"/>
        <v>#VALUE!</v>
      </c>
    </row>
    <row r="265" spans="1:10" x14ac:dyDescent="0.35">
      <c r="A265">
        <v>162</v>
      </c>
      <c r="B265" s="2">
        <v>45997</v>
      </c>
      <c r="C265" t="s">
        <v>18</v>
      </c>
      <c r="D265" t="s">
        <v>10</v>
      </c>
      <c r="E265" t="s">
        <v>15</v>
      </c>
      <c r="F265">
        <v>69</v>
      </c>
      <c r="G265" s="3">
        <v>5.8</v>
      </c>
      <c r="H265" s="3">
        <v>400.2</v>
      </c>
      <c r="I265" t="s">
        <v>42</v>
      </c>
      <c r="J265" t="e">
        <f t="shared" si="4"/>
        <v>#VALUE!</v>
      </c>
    </row>
    <row r="266" spans="1:10" x14ac:dyDescent="0.35">
      <c r="A266">
        <v>26</v>
      </c>
      <c r="B266" s="2">
        <v>45998</v>
      </c>
      <c r="C266" t="s">
        <v>31</v>
      </c>
      <c r="D266" t="s">
        <v>14</v>
      </c>
      <c r="E266" t="s">
        <v>11</v>
      </c>
      <c r="F266">
        <v>30</v>
      </c>
      <c r="G266" s="3">
        <v>6.23</v>
      </c>
      <c r="H266" s="3">
        <v>186.9</v>
      </c>
      <c r="I266" t="s">
        <v>42</v>
      </c>
      <c r="J266" t="e">
        <f t="shared" si="4"/>
        <v>#VALUE!</v>
      </c>
    </row>
    <row r="267" spans="1:10" x14ac:dyDescent="0.35">
      <c r="A267">
        <v>244</v>
      </c>
      <c r="B267" s="2">
        <v>45998</v>
      </c>
      <c r="C267" t="s">
        <v>33</v>
      </c>
      <c r="D267" t="s">
        <v>20</v>
      </c>
      <c r="E267" t="s">
        <v>11</v>
      </c>
      <c r="F267">
        <v>55</v>
      </c>
      <c r="G267" s="3">
        <v>5.87</v>
      </c>
      <c r="H267" s="3">
        <v>322.85000000000002</v>
      </c>
      <c r="I267" t="s">
        <v>42</v>
      </c>
      <c r="J267" t="e">
        <f t="shared" si="4"/>
        <v>#VALUE!</v>
      </c>
    </row>
    <row r="268" spans="1:10" x14ac:dyDescent="0.35">
      <c r="A268">
        <v>339</v>
      </c>
      <c r="B268" s="2">
        <v>45998</v>
      </c>
      <c r="C268" t="s">
        <v>9</v>
      </c>
      <c r="D268" t="s">
        <v>10</v>
      </c>
      <c r="E268" t="s">
        <v>11</v>
      </c>
      <c r="F268">
        <v>53</v>
      </c>
      <c r="G268" s="3">
        <v>11.91</v>
      </c>
      <c r="H268" s="3">
        <v>631.23</v>
      </c>
      <c r="I268" t="s">
        <v>42</v>
      </c>
      <c r="J268" t="e">
        <f t="shared" si="4"/>
        <v>#VALUE!</v>
      </c>
    </row>
    <row r="269" spans="1:10" x14ac:dyDescent="0.35">
      <c r="A269">
        <v>359</v>
      </c>
      <c r="B269" s="2">
        <v>45998</v>
      </c>
      <c r="C269" t="s">
        <v>16</v>
      </c>
      <c r="D269" t="s">
        <v>17</v>
      </c>
      <c r="E269" t="s">
        <v>15</v>
      </c>
      <c r="F269">
        <v>37</v>
      </c>
      <c r="G269" s="3">
        <v>2.11</v>
      </c>
      <c r="H269" s="3">
        <v>78.069999999999993</v>
      </c>
      <c r="I269" t="s">
        <v>42</v>
      </c>
      <c r="J269" t="e">
        <f t="shared" si="4"/>
        <v>#VALUE!</v>
      </c>
    </row>
    <row r="270" spans="1:10" x14ac:dyDescent="0.35">
      <c r="A270">
        <v>426</v>
      </c>
      <c r="B270" s="2">
        <v>45999</v>
      </c>
      <c r="C270" t="s">
        <v>35</v>
      </c>
      <c r="D270" t="s">
        <v>17</v>
      </c>
      <c r="E270" t="s">
        <v>11</v>
      </c>
      <c r="F270">
        <v>44</v>
      </c>
      <c r="G270" s="3">
        <v>5.52</v>
      </c>
      <c r="H270" s="3">
        <v>242.88</v>
      </c>
      <c r="I270" t="s">
        <v>42</v>
      </c>
      <c r="J270" t="e">
        <f t="shared" si="4"/>
        <v>#VALUE!</v>
      </c>
    </row>
    <row r="271" spans="1:10" x14ac:dyDescent="0.35">
      <c r="A271">
        <v>581</v>
      </c>
      <c r="B271" s="2">
        <v>45999</v>
      </c>
      <c r="C271" t="s">
        <v>13</v>
      </c>
      <c r="D271" t="s">
        <v>14</v>
      </c>
      <c r="E271" t="s">
        <v>15</v>
      </c>
      <c r="F271">
        <v>42</v>
      </c>
      <c r="G271" s="3">
        <v>1.93</v>
      </c>
      <c r="H271" s="3">
        <v>81.06</v>
      </c>
      <c r="I271" t="s">
        <v>42</v>
      </c>
      <c r="J271" t="e">
        <f t="shared" si="4"/>
        <v>#VALUE!</v>
      </c>
    </row>
    <row r="272" spans="1:10" x14ac:dyDescent="0.35">
      <c r="A272">
        <v>585</v>
      </c>
      <c r="B272" s="2">
        <v>45999</v>
      </c>
      <c r="C272" t="s">
        <v>37</v>
      </c>
      <c r="D272" t="s">
        <v>27</v>
      </c>
      <c r="E272" t="s">
        <v>11</v>
      </c>
      <c r="F272">
        <v>53</v>
      </c>
      <c r="G272" s="3">
        <v>7.85</v>
      </c>
      <c r="H272" s="3">
        <v>416.05</v>
      </c>
      <c r="I272" t="s">
        <v>42</v>
      </c>
      <c r="J272" t="e">
        <f t="shared" si="4"/>
        <v>#VALUE!</v>
      </c>
    </row>
    <row r="273" spans="1:10" x14ac:dyDescent="0.35">
      <c r="A273">
        <v>404</v>
      </c>
      <c r="B273" s="2">
        <v>46000</v>
      </c>
      <c r="C273" t="s">
        <v>16</v>
      </c>
      <c r="D273" t="s">
        <v>17</v>
      </c>
      <c r="E273" t="s">
        <v>15</v>
      </c>
      <c r="F273">
        <v>88</v>
      </c>
      <c r="G273" s="3">
        <v>2.1</v>
      </c>
      <c r="H273" s="3">
        <v>184.8</v>
      </c>
      <c r="I273" t="s">
        <v>42</v>
      </c>
      <c r="J273" t="e">
        <f t="shared" si="4"/>
        <v>#VALUE!</v>
      </c>
    </row>
    <row r="274" spans="1:10" x14ac:dyDescent="0.35">
      <c r="A274">
        <v>419</v>
      </c>
      <c r="B274" s="2">
        <v>46001</v>
      </c>
      <c r="C274" t="s">
        <v>13</v>
      </c>
      <c r="D274" t="s">
        <v>14</v>
      </c>
      <c r="E274" t="s">
        <v>15</v>
      </c>
      <c r="F274">
        <v>71</v>
      </c>
      <c r="G274" s="3">
        <v>1.82</v>
      </c>
      <c r="H274" s="3">
        <v>129.22</v>
      </c>
      <c r="I274" t="s">
        <v>42</v>
      </c>
      <c r="J274" t="e">
        <f t="shared" si="4"/>
        <v>#VALUE!</v>
      </c>
    </row>
    <row r="275" spans="1:10" x14ac:dyDescent="0.35">
      <c r="A275">
        <v>528</v>
      </c>
      <c r="B275" s="2">
        <v>46001</v>
      </c>
      <c r="C275" t="s">
        <v>37</v>
      </c>
      <c r="D275" t="s">
        <v>27</v>
      </c>
      <c r="E275" t="s">
        <v>11</v>
      </c>
      <c r="F275">
        <v>75</v>
      </c>
      <c r="G275" s="3">
        <v>7.66</v>
      </c>
      <c r="H275" s="3">
        <v>574.5</v>
      </c>
      <c r="I275" t="s">
        <v>42</v>
      </c>
      <c r="J275" t="e">
        <f t="shared" si="4"/>
        <v>#VALUE!</v>
      </c>
    </row>
    <row r="276" spans="1:10" x14ac:dyDescent="0.35">
      <c r="A276">
        <v>289</v>
      </c>
      <c r="B276" s="2">
        <v>46002</v>
      </c>
      <c r="C276" t="s">
        <v>13</v>
      </c>
      <c r="D276" t="s">
        <v>14</v>
      </c>
      <c r="E276" t="s">
        <v>15</v>
      </c>
      <c r="F276">
        <v>62</v>
      </c>
      <c r="G276" s="3">
        <v>1.81</v>
      </c>
      <c r="H276" s="3">
        <v>112.22</v>
      </c>
      <c r="I276" t="s">
        <v>42</v>
      </c>
      <c r="J276" t="e">
        <f t="shared" si="4"/>
        <v>#VALUE!</v>
      </c>
    </row>
    <row r="277" spans="1:10" x14ac:dyDescent="0.35">
      <c r="A277">
        <v>520</v>
      </c>
      <c r="B277" s="2">
        <v>46002</v>
      </c>
      <c r="C277" t="s">
        <v>32</v>
      </c>
      <c r="D277" t="s">
        <v>20</v>
      </c>
      <c r="E277" t="s">
        <v>11</v>
      </c>
      <c r="F277">
        <v>43</v>
      </c>
      <c r="G277" s="3">
        <v>3.29</v>
      </c>
      <c r="H277" s="3">
        <v>141.47</v>
      </c>
      <c r="I277" t="s">
        <v>42</v>
      </c>
      <c r="J277" t="e">
        <f t="shared" si="4"/>
        <v>#VALUE!</v>
      </c>
    </row>
    <row r="278" spans="1:10" x14ac:dyDescent="0.35">
      <c r="A278">
        <v>198</v>
      </c>
      <c r="B278" s="2">
        <v>46003</v>
      </c>
      <c r="C278" t="s">
        <v>24</v>
      </c>
      <c r="D278" t="s">
        <v>10</v>
      </c>
      <c r="E278" t="s">
        <v>11</v>
      </c>
      <c r="F278">
        <v>69</v>
      </c>
      <c r="G278" s="3">
        <v>14.65</v>
      </c>
      <c r="H278" s="3">
        <v>1010.85</v>
      </c>
      <c r="I278" t="s">
        <v>42</v>
      </c>
      <c r="J278" t="e">
        <f t="shared" si="4"/>
        <v>#VALUE!</v>
      </c>
    </row>
    <row r="279" spans="1:10" x14ac:dyDescent="0.35">
      <c r="A279">
        <v>293</v>
      </c>
      <c r="B279" s="2">
        <v>46003</v>
      </c>
      <c r="C279" t="s">
        <v>18</v>
      </c>
      <c r="D279" t="s">
        <v>10</v>
      </c>
      <c r="E279" t="s">
        <v>15</v>
      </c>
      <c r="F279">
        <v>61</v>
      </c>
      <c r="G279" s="3">
        <v>6.38</v>
      </c>
      <c r="H279" s="3">
        <v>389.18</v>
      </c>
      <c r="I279" t="s">
        <v>42</v>
      </c>
      <c r="J279" t="e">
        <f t="shared" si="4"/>
        <v>#VALUE!</v>
      </c>
    </row>
    <row r="280" spans="1:10" x14ac:dyDescent="0.35">
      <c r="A280">
        <v>182</v>
      </c>
      <c r="B280" s="2">
        <v>46004</v>
      </c>
      <c r="C280" t="s">
        <v>19</v>
      </c>
      <c r="D280" t="s">
        <v>20</v>
      </c>
      <c r="E280" t="s">
        <v>15</v>
      </c>
      <c r="F280">
        <v>74</v>
      </c>
      <c r="G280" s="3">
        <v>2.92</v>
      </c>
      <c r="H280" s="3">
        <v>216.08</v>
      </c>
      <c r="I280" t="s">
        <v>42</v>
      </c>
      <c r="J280" t="e">
        <f t="shared" si="4"/>
        <v>#VALUE!</v>
      </c>
    </row>
    <row r="281" spans="1:10" x14ac:dyDescent="0.35">
      <c r="A281">
        <v>269</v>
      </c>
      <c r="B281" s="2">
        <v>46004</v>
      </c>
      <c r="C281" t="s">
        <v>33</v>
      </c>
      <c r="D281" t="s">
        <v>20</v>
      </c>
      <c r="E281" t="s">
        <v>11</v>
      </c>
      <c r="F281">
        <v>61</v>
      </c>
      <c r="G281" s="3">
        <v>5.25</v>
      </c>
      <c r="H281" s="3">
        <v>320.25</v>
      </c>
      <c r="I281" t="s">
        <v>42</v>
      </c>
      <c r="J281" t="e">
        <f t="shared" si="4"/>
        <v>#VALUE!</v>
      </c>
    </row>
    <row r="282" spans="1:10" x14ac:dyDescent="0.35">
      <c r="A282">
        <v>497</v>
      </c>
      <c r="B282" s="2">
        <v>46004</v>
      </c>
      <c r="C282" t="s">
        <v>21</v>
      </c>
      <c r="D282" t="s">
        <v>22</v>
      </c>
      <c r="E282" t="s">
        <v>11</v>
      </c>
      <c r="F282">
        <v>14</v>
      </c>
      <c r="G282" s="3">
        <v>5.07</v>
      </c>
      <c r="H282" s="3">
        <v>70.98</v>
      </c>
      <c r="I282" t="s">
        <v>42</v>
      </c>
      <c r="J282" t="e">
        <f t="shared" si="4"/>
        <v>#VALUE!</v>
      </c>
    </row>
    <row r="283" spans="1:10" x14ac:dyDescent="0.35">
      <c r="A283">
        <v>241</v>
      </c>
      <c r="B283" s="2">
        <v>46006</v>
      </c>
      <c r="C283" t="s">
        <v>19</v>
      </c>
      <c r="D283" t="s">
        <v>20</v>
      </c>
      <c r="E283" t="s">
        <v>15</v>
      </c>
      <c r="F283">
        <v>46</v>
      </c>
      <c r="G283" s="3">
        <v>2.94</v>
      </c>
      <c r="H283" s="3">
        <v>135.24</v>
      </c>
      <c r="I283" t="s">
        <v>42</v>
      </c>
      <c r="J283" t="e">
        <f t="shared" si="4"/>
        <v>#VALUE!</v>
      </c>
    </row>
    <row r="284" spans="1:10" x14ac:dyDescent="0.35">
      <c r="A284">
        <v>43</v>
      </c>
      <c r="B284" s="2">
        <v>46007</v>
      </c>
      <c r="C284" t="s">
        <v>35</v>
      </c>
      <c r="D284" t="s">
        <v>17</v>
      </c>
      <c r="E284" t="s">
        <v>11</v>
      </c>
      <c r="F284">
        <v>31</v>
      </c>
      <c r="G284" s="3">
        <v>5.76</v>
      </c>
      <c r="H284" s="3">
        <v>178.56</v>
      </c>
      <c r="I284" t="s">
        <v>42</v>
      </c>
      <c r="J284" t="e">
        <f t="shared" si="4"/>
        <v>#VALUE!</v>
      </c>
    </row>
    <row r="285" spans="1:10" x14ac:dyDescent="0.35">
      <c r="A285">
        <v>383</v>
      </c>
      <c r="B285" s="2">
        <v>46007</v>
      </c>
      <c r="C285" t="s">
        <v>30</v>
      </c>
      <c r="D285" t="s">
        <v>14</v>
      </c>
      <c r="E285" t="s">
        <v>11</v>
      </c>
      <c r="F285">
        <v>43</v>
      </c>
      <c r="G285" s="3">
        <v>4.34</v>
      </c>
      <c r="H285" s="3">
        <v>186.62</v>
      </c>
      <c r="I285" t="s">
        <v>42</v>
      </c>
      <c r="J285" t="e">
        <f t="shared" si="4"/>
        <v>#VALUE!</v>
      </c>
    </row>
    <row r="286" spans="1:10" x14ac:dyDescent="0.35">
      <c r="A286">
        <v>5</v>
      </c>
      <c r="B286" s="2">
        <v>46008</v>
      </c>
      <c r="C286" t="s">
        <v>33</v>
      </c>
      <c r="D286" t="s">
        <v>20</v>
      </c>
      <c r="E286" t="s">
        <v>11</v>
      </c>
      <c r="F286">
        <v>48</v>
      </c>
      <c r="G286" s="3">
        <v>5.5</v>
      </c>
      <c r="H286" s="3">
        <v>264</v>
      </c>
      <c r="I286" t="s">
        <v>42</v>
      </c>
      <c r="J286" t="e">
        <f t="shared" si="4"/>
        <v>#VALUE!</v>
      </c>
    </row>
    <row r="287" spans="1:10" x14ac:dyDescent="0.35">
      <c r="A287">
        <v>235</v>
      </c>
      <c r="B287" s="2">
        <v>46008</v>
      </c>
      <c r="C287" t="s">
        <v>30</v>
      </c>
      <c r="D287" t="s">
        <v>14</v>
      </c>
      <c r="E287" t="s">
        <v>11</v>
      </c>
      <c r="F287">
        <v>47</v>
      </c>
      <c r="G287" s="3">
        <v>4.4400000000000004</v>
      </c>
      <c r="H287" s="3">
        <v>208.68</v>
      </c>
      <c r="I287" t="s">
        <v>42</v>
      </c>
      <c r="J287" t="e">
        <f t="shared" si="4"/>
        <v>#VALUE!</v>
      </c>
    </row>
    <row r="288" spans="1:10" x14ac:dyDescent="0.35">
      <c r="A288">
        <v>168</v>
      </c>
      <c r="B288" s="2">
        <v>46009</v>
      </c>
      <c r="C288" t="s">
        <v>32</v>
      </c>
      <c r="D288" t="s">
        <v>20</v>
      </c>
      <c r="E288" t="s">
        <v>11</v>
      </c>
      <c r="F288">
        <v>37</v>
      </c>
      <c r="G288" s="3">
        <v>3.42</v>
      </c>
      <c r="H288" s="3">
        <v>126.54</v>
      </c>
      <c r="I288" t="s">
        <v>42</v>
      </c>
      <c r="J288" t="e">
        <f t="shared" si="4"/>
        <v>#VALUE!</v>
      </c>
    </row>
    <row r="289" spans="1:10" x14ac:dyDescent="0.35">
      <c r="A289">
        <v>325</v>
      </c>
      <c r="B289" s="2">
        <v>46010</v>
      </c>
      <c r="C289" t="s">
        <v>23</v>
      </c>
      <c r="D289" t="s">
        <v>17</v>
      </c>
      <c r="E289" t="s">
        <v>11</v>
      </c>
      <c r="F289">
        <v>47</v>
      </c>
      <c r="G289" s="3">
        <v>6.34</v>
      </c>
      <c r="H289" s="3">
        <v>297.98</v>
      </c>
      <c r="I289" t="s">
        <v>42</v>
      </c>
      <c r="J289" t="e">
        <f t="shared" si="4"/>
        <v>#VALUE!</v>
      </c>
    </row>
    <row r="290" spans="1:10" x14ac:dyDescent="0.35">
      <c r="A290">
        <v>56</v>
      </c>
      <c r="B290" s="2">
        <v>46011</v>
      </c>
      <c r="C290" t="s">
        <v>23</v>
      </c>
      <c r="D290" t="s">
        <v>17</v>
      </c>
      <c r="E290" t="s">
        <v>11</v>
      </c>
      <c r="F290">
        <v>60</v>
      </c>
      <c r="G290" s="3">
        <v>6.25</v>
      </c>
      <c r="H290" s="3">
        <v>375</v>
      </c>
      <c r="I290" t="s">
        <v>42</v>
      </c>
      <c r="J290" t="e">
        <f t="shared" si="4"/>
        <v>#VALUE!</v>
      </c>
    </row>
    <row r="291" spans="1:10" x14ac:dyDescent="0.35">
      <c r="A291">
        <v>96</v>
      </c>
      <c r="B291" s="2">
        <v>46011</v>
      </c>
      <c r="C291" t="s">
        <v>31</v>
      </c>
      <c r="D291" t="s">
        <v>14</v>
      </c>
      <c r="E291" t="s">
        <v>11</v>
      </c>
      <c r="F291">
        <v>42</v>
      </c>
      <c r="G291" s="3">
        <v>6.66</v>
      </c>
      <c r="H291" s="3">
        <v>279.72000000000003</v>
      </c>
      <c r="I291" t="s">
        <v>42</v>
      </c>
      <c r="J291" t="e">
        <f t="shared" si="4"/>
        <v>#VALUE!</v>
      </c>
    </row>
    <row r="292" spans="1:10" x14ac:dyDescent="0.35">
      <c r="A292">
        <v>145</v>
      </c>
      <c r="B292" s="2">
        <v>46011</v>
      </c>
      <c r="C292" t="s">
        <v>33</v>
      </c>
      <c r="D292" t="s">
        <v>20</v>
      </c>
      <c r="E292" t="s">
        <v>11</v>
      </c>
      <c r="F292">
        <v>56</v>
      </c>
      <c r="G292" s="3">
        <v>5.6</v>
      </c>
      <c r="H292" s="3">
        <v>313.60000000000002</v>
      </c>
      <c r="I292" t="s">
        <v>42</v>
      </c>
      <c r="J292" t="e">
        <f t="shared" si="4"/>
        <v>#VALUE!</v>
      </c>
    </row>
    <row r="293" spans="1:10" x14ac:dyDescent="0.35">
      <c r="A293">
        <v>200</v>
      </c>
      <c r="B293" s="2">
        <v>46011</v>
      </c>
      <c r="C293" t="s">
        <v>31</v>
      </c>
      <c r="D293" t="s">
        <v>14</v>
      </c>
      <c r="E293" t="s">
        <v>11</v>
      </c>
      <c r="F293">
        <v>21</v>
      </c>
      <c r="G293" s="3">
        <v>6.5</v>
      </c>
      <c r="H293" s="3">
        <v>136.5</v>
      </c>
      <c r="I293" t="s">
        <v>42</v>
      </c>
      <c r="J293" t="e">
        <f t="shared" si="4"/>
        <v>#VALUE!</v>
      </c>
    </row>
    <row r="294" spans="1:10" x14ac:dyDescent="0.35">
      <c r="A294">
        <v>474</v>
      </c>
      <c r="B294" s="2">
        <v>46012</v>
      </c>
      <c r="C294" t="s">
        <v>32</v>
      </c>
      <c r="D294" t="s">
        <v>20</v>
      </c>
      <c r="E294" t="s">
        <v>11</v>
      </c>
      <c r="F294">
        <v>49</v>
      </c>
      <c r="G294" s="3">
        <v>3.18</v>
      </c>
      <c r="H294" s="3">
        <v>155.82</v>
      </c>
      <c r="I294" t="s">
        <v>42</v>
      </c>
      <c r="J294" t="e">
        <f t="shared" si="4"/>
        <v>#VALUE!</v>
      </c>
    </row>
    <row r="295" spans="1:10" x14ac:dyDescent="0.35">
      <c r="A295">
        <v>54</v>
      </c>
      <c r="B295" s="2">
        <v>46014</v>
      </c>
      <c r="C295" t="s">
        <v>13</v>
      </c>
      <c r="D295" t="s">
        <v>14</v>
      </c>
      <c r="E295" t="s">
        <v>15</v>
      </c>
      <c r="F295">
        <v>74</v>
      </c>
      <c r="G295" s="3">
        <v>1.9</v>
      </c>
      <c r="H295" s="3">
        <v>140.6</v>
      </c>
      <c r="I295" t="s">
        <v>42</v>
      </c>
      <c r="J295" t="e">
        <f t="shared" si="4"/>
        <v>#VALUE!</v>
      </c>
    </row>
    <row r="296" spans="1:10" x14ac:dyDescent="0.35">
      <c r="A296">
        <v>237</v>
      </c>
      <c r="B296" s="2">
        <v>46014</v>
      </c>
      <c r="C296" t="s">
        <v>32</v>
      </c>
      <c r="D296" t="s">
        <v>20</v>
      </c>
      <c r="E296" t="s">
        <v>11</v>
      </c>
      <c r="F296">
        <v>57</v>
      </c>
      <c r="G296" s="3">
        <v>3.07</v>
      </c>
      <c r="H296" s="3">
        <v>174.99</v>
      </c>
      <c r="I296" t="s">
        <v>42</v>
      </c>
      <c r="J296" t="e">
        <f t="shared" si="4"/>
        <v>#VALUE!</v>
      </c>
    </row>
    <row r="297" spans="1:10" x14ac:dyDescent="0.35">
      <c r="A297">
        <v>442</v>
      </c>
      <c r="B297" s="2">
        <v>46014</v>
      </c>
      <c r="C297" t="s">
        <v>30</v>
      </c>
      <c r="D297" t="s">
        <v>14</v>
      </c>
      <c r="E297" t="s">
        <v>11</v>
      </c>
      <c r="F297">
        <v>46</v>
      </c>
      <c r="G297" s="3">
        <v>4.74</v>
      </c>
      <c r="H297" s="3">
        <v>218.04</v>
      </c>
      <c r="I297" t="s">
        <v>42</v>
      </c>
      <c r="J297" t="e">
        <f t="shared" si="4"/>
        <v>#VALUE!</v>
      </c>
    </row>
    <row r="298" spans="1:10" x14ac:dyDescent="0.35">
      <c r="A298">
        <v>110</v>
      </c>
      <c r="B298" s="2">
        <v>46015</v>
      </c>
      <c r="C298" t="s">
        <v>28</v>
      </c>
      <c r="D298" t="s">
        <v>20</v>
      </c>
      <c r="E298" t="s">
        <v>15</v>
      </c>
      <c r="F298">
        <v>80</v>
      </c>
      <c r="G298" s="3">
        <v>2.39</v>
      </c>
      <c r="H298" s="3">
        <v>191.2</v>
      </c>
      <c r="I298" t="s">
        <v>42</v>
      </c>
      <c r="J298" t="e">
        <f t="shared" si="4"/>
        <v>#VALUE!</v>
      </c>
    </row>
    <row r="299" spans="1:10" x14ac:dyDescent="0.35">
      <c r="A299">
        <v>74</v>
      </c>
      <c r="B299" s="2">
        <v>46016</v>
      </c>
      <c r="C299" t="s">
        <v>23</v>
      </c>
      <c r="D299" t="s">
        <v>17</v>
      </c>
      <c r="E299" t="s">
        <v>11</v>
      </c>
      <c r="F299">
        <v>47</v>
      </c>
      <c r="G299" s="3">
        <v>6.06</v>
      </c>
      <c r="H299" s="3">
        <v>284.82</v>
      </c>
      <c r="I299" t="s">
        <v>42</v>
      </c>
      <c r="J299" t="e">
        <f t="shared" si="4"/>
        <v>#VALUE!</v>
      </c>
    </row>
    <row r="300" spans="1:10" x14ac:dyDescent="0.35">
      <c r="A300">
        <v>105</v>
      </c>
      <c r="B300" s="2">
        <v>46016</v>
      </c>
      <c r="C300" t="s">
        <v>37</v>
      </c>
      <c r="D300" t="s">
        <v>27</v>
      </c>
      <c r="E300" t="s">
        <v>11</v>
      </c>
      <c r="F300">
        <v>10</v>
      </c>
      <c r="G300" s="3">
        <v>8.4499999999999993</v>
      </c>
      <c r="H300" s="3">
        <v>84.5</v>
      </c>
      <c r="I300" t="s">
        <v>42</v>
      </c>
      <c r="J300" t="e">
        <f t="shared" si="4"/>
        <v>#VALUE!</v>
      </c>
    </row>
    <row r="301" spans="1:10" x14ac:dyDescent="0.35">
      <c r="A301">
        <v>19</v>
      </c>
      <c r="B301" s="2">
        <v>46017</v>
      </c>
      <c r="C301" t="s">
        <v>29</v>
      </c>
      <c r="D301" t="s">
        <v>22</v>
      </c>
      <c r="E301" t="s">
        <v>15</v>
      </c>
      <c r="F301">
        <v>87</v>
      </c>
      <c r="G301" s="3">
        <v>1.45</v>
      </c>
      <c r="H301" s="3">
        <v>126.15</v>
      </c>
      <c r="I301" t="s">
        <v>42</v>
      </c>
      <c r="J301" t="e">
        <f t="shared" si="4"/>
        <v>#VALUE!</v>
      </c>
    </row>
    <row r="302" spans="1:10" x14ac:dyDescent="0.35">
      <c r="A302">
        <v>75</v>
      </c>
      <c r="B302" s="2">
        <v>46017</v>
      </c>
      <c r="C302" t="s">
        <v>26</v>
      </c>
      <c r="D302" t="s">
        <v>27</v>
      </c>
      <c r="E302" t="s">
        <v>15</v>
      </c>
      <c r="F302">
        <v>62</v>
      </c>
      <c r="G302" s="3">
        <v>2.67</v>
      </c>
      <c r="H302" s="3">
        <v>165.54</v>
      </c>
      <c r="I302" t="s">
        <v>42</v>
      </c>
      <c r="J302" t="e">
        <f t="shared" si="4"/>
        <v>#VALUE!</v>
      </c>
    </row>
    <row r="303" spans="1:10" x14ac:dyDescent="0.35">
      <c r="A303">
        <v>158</v>
      </c>
      <c r="B303" s="2">
        <v>46017</v>
      </c>
      <c r="C303" t="s">
        <v>25</v>
      </c>
      <c r="D303" t="s">
        <v>17</v>
      </c>
      <c r="E303" t="s">
        <v>15</v>
      </c>
      <c r="F303">
        <v>80</v>
      </c>
      <c r="G303" s="3">
        <v>1.94</v>
      </c>
      <c r="H303" s="3">
        <v>155.19999999999999</v>
      </c>
      <c r="I303" t="s">
        <v>42</v>
      </c>
      <c r="J303" t="e">
        <f t="shared" si="4"/>
        <v>#VALUE!</v>
      </c>
    </row>
    <row r="304" spans="1:10" x14ac:dyDescent="0.35">
      <c r="A304">
        <v>138</v>
      </c>
      <c r="B304" s="2">
        <v>46018</v>
      </c>
      <c r="C304" t="s">
        <v>13</v>
      </c>
      <c r="D304" t="s">
        <v>14</v>
      </c>
      <c r="E304" t="s">
        <v>15</v>
      </c>
      <c r="F304">
        <v>74</v>
      </c>
      <c r="G304" s="3">
        <v>1.83</v>
      </c>
      <c r="H304" s="3">
        <v>135.41999999999999</v>
      </c>
      <c r="I304" t="s">
        <v>42</v>
      </c>
      <c r="J304" t="e">
        <f t="shared" si="4"/>
        <v>#VALUE!</v>
      </c>
    </row>
    <row r="305" spans="1:10" x14ac:dyDescent="0.35">
      <c r="A305">
        <v>242</v>
      </c>
      <c r="B305" s="2">
        <v>46019</v>
      </c>
      <c r="C305" t="s">
        <v>32</v>
      </c>
      <c r="D305" t="s">
        <v>20</v>
      </c>
      <c r="E305" t="s">
        <v>11</v>
      </c>
      <c r="F305">
        <v>27</v>
      </c>
      <c r="G305" s="3">
        <v>3.33</v>
      </c>
      <c r="H305" s="3">
        <v>89.91</v>
      </c>
      <c r="I305" t="s">
        <v>42</v>
      </c>
      <c r="J305" t="e">
        <f t="shared" si="4"/>
        <v>#VALUE!</v>
      </c>
    </row>
    <row r="306" spans="1:10" x14ac:dyDescent="0.35">
      <c r="A306">
        <v>260</v>
      </c>
      <c r="B306" s="2">
        <v>46019</v>
      </c>
      <c r="C306" t="s">
        <v>19</v>
      </c>
      <c r="D306" t="s">
        <v>20</v>
      </c>
      <c r="E306" t="s">
        <v>15</v>
      </c>
      <c r="F306">
        <v>65</v>
      </c>
      <c r="G306" s="3">
        <v>3.03</v>
      </c>
      <c r="H306" s="3">
        <v>196.95</v>
      </c>
      <c r="I306" t="s">
        <v>42</v>
      </c>
      <c r="J306" t="e">
        <f t="shared" si="4"/>
        <v>#VALUE!</v>
      </c>
    </row>
    <row r="307" spans="1:10" x14ac:dyDescent="0.35">
      <c r="A307">
        <v>277</v>
      </c>
      <c r="B307" s="2">
        <v>46021</v>
      </c>
      <c r="C307" t="s">
        <v>19</v>
      </c>
      <c r="D307" t="s">
        <v>20</v>
      </c>
      <c r="E307" t="s">
        <v>15</v>
      </c>
      <c r="F307">
        <v>64</v>
      </c>
      <c r="G307" s="3">
        <v>3.04</v>
      </c>
      <c r="H307" s="3">
        <v>194.56</v>
      </c>
      <c r="I307" t="s">
        <v>42</v>
      </c>
      <c r="J307" t="e">
        <f t="shared" si="4"/>
        <v>#VALUE!</v>
      </c>
    </row>
    <row r="308" spans="1:10" x14ac:dyDescent="0.35">
      <c r="A308">
        <v>486</v>
      </c>
      <c r="B308" s="2">
        <v>46021</v>
      </c>
      <c r="C308" t="s">
        <v>28</v>
      </c>
      <c r="D308" t="s">
        <v>20</v>
      </c>
      <c r="E308" t="s">
        <v>15</v>
      </c>
      <c r="F308">
        <v>78</v>
      </c>
      <c r="G308" s="3">
        <v>2.59</v>
      </c>
      <c r="H308" s="3">
        <v>202.02</v>
      </c>
      <c r="I308" t="s">
        <v>42</v>
      </c>
      <c r="J308" t="e">
        <f t="shared" si="4"/>
        <v>#VALUE!</v>
      </c>
    </row>
    <row r="309" spans="1:10" x14ac:dyDescent="0.35">
      <c r="A309">
        <v>163</v>
      </c>
      <c r="B309" s="2">
        <v>46022</v>
      </c>
      <c r="C309" t="s">
        <v>24</v>
      </c>
      <c r="D309" t="s">
        <v>10</v>
      </c>
      <c r="E309" t="s">
        <v>11</v>
      </c>
      <c r="F309">
        <v>37</v>
      </c>
      <c r="G309" s="3">
        <v>15.66</v>
      </c>
      <c r="H309" s="3">
        <v>579.41999999999996</v>
      </c>
      <c r="I309" t="s">
        <v>42</v>
      </c>
      <c r="J309" t="e">
        <f t="shared" si="4"/>
        <v>#VALUE!</v>
      </c>
    </row>
    <row r="310" spans="1:10" x14ac:dyDescent="0.35">
      <c r="A310">
        <v>299</v>
      </c>
      <c r="B310" s="2">
        <v>46022</v>
      </c>
      <c r="C310" t="s">
        <v>21</v>
      </c>
      <c r="D310" t="s">
        <v>22</v>
      </c>
      <c r="E310" t="s">
        <v>11</v>
      </c>
      <c r="F310">
        <v>52</v>
      </c>
      <c r="G310" s="3">
        <v>4.83</v>
      </c>
      <c r="H310" s="3">
        <v>251.16</v>
      </c>
      <c r="I310" t="s">
        <v>42</v>
      </c>
      <c r="J310" t="e">
        <f t="shared" si="4"/>
        <v>#VALUE!</v>
      </c>
    </row>
    <row r="311" spans="1:10" x14ac:dyDescent="0.35">
      <c r="A311">
        <v>421</v>
      </c>
      <c r="B311" s="2">
        <v>46022</v>
      </c>
      <c r="C311" t="s">
        <v>28</v>
      </c>
      <c r="D311" t="s">
        <v>20</v>
      </c>
      <c r="E311" t="s">
        <v>15</v>
      </c>
      <c r="F311">
        <v>11</v>
      </c>
      <c r="G311" s="3">
        <v>2.4900000000000002</v>
      </c>
      <c r="H311" s="3">
        <v>27.39</v>
      </c>
      <c r="I311" t="s">
        <v>42</v>
      </c>
      <c r="J311" t="e">
        <f t="shared" si="4"/>
        <v>#VALUE!</v>
      </c>
    </row>
    <row r="312" spans="1:10" x14ac:dyDescent="0.35">
      <c r="A312">
        <v>222</v>
      </c>
      <c r="B312" s="2">
        <v>46023</v>
      </c>
      <c r="C312" t="s">
        <v>18</v>
      </c>
      <c r="D312" t="s">
        <v>10</v>
      </c>
      <c r="E312" t="s">
        <v>15</v>
      </c>
      <c r="F312">
        <v>80</v>
      </c>
      <c r="G312" s="3">
        <v>6.47</v>
      </c>
      <c r="H312" s="3">
        <v>517.6</v>
      </c>
      <c r="I312" t="s">
        <v>43</v>
      </c>
      <c r="J312" t="e">
        <f t="shared" si="4"/>
        <v>#VALUE!</v>
      </c>
    </row>
    <row r="313" spans="1:10" x14ac:dyDescent="0.35">
      <c r="A313">
        <v>400</v>
      </c>
      <c r="B313" s="2">
        <v>46024</v>
      </c>
      <c r="C313" t="s">
        <v>36</v>
      </c>
      <c r="D313" t="s">
        <v>14</v>
      </c>
      <c r="E313" t="s">
        <v>15</v>
      </c>
      <c r="F313">
        <v>76</v>
      </c>
      <c r="G313" s="3">
        <v>2.27</v>
      </c>
      <c r="H313" s="3">
        <v>172.52</v>
      </c>
      <c r="I313" t="s">
        <v>43</v>
      </c>
      <c r="J313" t="e">
        <f t="shared" si="4"/>
        <v>#VALUE!</v>
      </c>
    </row>
    <row r="314" spans="1:10" x14ac:dyDescent="0.35">
      <c r="A314">
        <v>569</v>
      </c>
      <c r="B314" s="2">
        <v>46024</v>
      </c>
      <c r="C314" t="s">
        <v>32</v>
      </c>
      <c r="D314" t="s">
        <v>20</v>
      </c>
      <c r="E314" t="s">
        <v>11</v>
      </c>
      <c r="F314">
        <v>40</v>
      </c>
      <c r="G314" s="3">
        <v>3.15</v>
      </c>
      <c r="H314" s="3">
        <v>126</v>
      </c>
      <c r="I314" t="s">
        <v>43</v>
      </c>
      <c r="J314" t="e">
        <f t="shared" si="4"/>
        <v>#VALUE!</v>
      </c>
    </row>
    <row r="315" spans="1:10" x14ac:dyDescent="0.35">
      <c r="A315">
        <v>243</v>
      </c>
      <c r="B315" s="2">
        <v>46026</v>
      </c>
      <c r="C315" t="s">
        <v>9</v>
      </c>
      <c r="D315" t="s">
        <v>10</v>
      </c>
      <c r="E315" t="s">
        <v>11</v>
      </c>
      <c r="F315">
        <v>44</v>
      </c>
      <c r="G315" s="3">
        <v>12.77</v>
      </c>
      <c r="H315" s="3">
        <v>561.88</v>
      </c>
      <c r="I315" t="s">
        <v>43</v>
      </c>
      <c r="J315" t="e">
        <f t="shared" si="4"/>
        <v>#VALUE!</v>
      </c>
    </row>
    <row r="316" spans="1:10" x14ac:dyDescent="0.35">
      <c r="A316">
        <v>540</v>
      </c>
      <c r="B316" s="2">
        <v>46026</v>
      </c>
      <c r="C316" t="s">
        <v>28</v>
      </c>
      <c r="D316" t="s">
        <v>20</v>
      </c>
      <c r="E316" t="s">
        <v>15</v>
      </c>
      <c r="F316">
        <v>55</v>
      </c>
      <c r="G316" s="3">
        <v>2.5099999999999998</v>
      </c>
      <c r="H316" s="3">
        <v>138.05000000000001</v>
      </c>
      <c r="I316" t="s">
        <v>43</v>
      </c>
      <c r="J316" t="e">
        <f t="shared" si="4"/>
        <v>#VALUE!</v>
      </c>
    </row>
    <row r="317" spans="1:10" x14ac:dyDescent="0.35">
      <c r="A317">
        <v>579</v>
      </c>
      <c r="B317" s="2">
        <v>46026</v>
      </c>
      <c r="C317" t="s">
        <v>28</v>
      </c>
      <c r="D317" t="s">
        <v>20</v>
      </c>
      <c r="E317" t="s">
        <v>15</v>
      </c>
      <c r="F317">
        <v>75</v>
      </c>
      <c r="G317" s="3">
        <v>2.68</v>
      </c>
      <c r="H317" s="3">
        <v>201</v>
      </c>
      <c r="I317" t="s">
        <v>43</v>
      </c>
      <c r="J317" t="e">
        <f t="shared" si="4"/>
        <v>#VALUE!</v>
      </c>
    </row>
    <row r="318" spans="1:10" x14ac:dyDescent="0.35">
      <c r="A318">
        <v>178</v>
      </c>
      <c r="B318" s="2">
        <v>46027</v>
      </c>
      <c r="C318" t="s">
        <v>29</v>
      </c>
      <c r="D318" t="s">
        <v>22</v>
      </c>
      <c r="E318" t="s">
        <v>15</v>
      </c>
      <c r="F318">
        <v>35</v>
      </c>
      <c r="G318" s="3">
        <v>1.54</v>
      </c>
      <c r="H318" s="3">
        <v>53.9</v>
      </c>
      <c r="I318" t="s">
        <v>43</v>
      </c>
      <c r="J318" t="e">
        <f t="shared" si="4"/>
        <v>#VALUE!</v>
      </c>
    </row>
    <row r="319" spans="1:10" x14ac:dyDescent="0.35">
      <c r="A319">
        <v>393</v>
      </c>
      <c r="B319" s="2">
        <v>46027</v>
      </c>
      <c r="C319" t="s">
        <v>21</v>
      </c>
      <c r="D319" t="s">
        <v>22</v>
      </c>
      <c r="E319" t="s">
        <v>11</v>
      </c>
      <c r="F319">
        <v>55</v>
      </c>
      <c r="G319" s="3">
        <v>5.2</v>
      </c>
      <c r="H319" s="3">
        <v>286</v>
      </c>
      <c r="I319" t="s">
        <v>43</v>
      </c>
      <c r="J319" t="e">
        <f t="shared" si="4"/>
        <v>#VALUE!</v>
      </c>
    </row>
    <row r="320" spans="1:10" x14ac:dyDescent="0.35">
      <c r="A320">
        <v>482</v>
      </c>
      <c r="B320" s="2">
        <v>46027</v>
      </c>
      <c r="C320" t="s">
        <v>18</v>
      </c>
      <c r="D320" t="s">
        <v>10</v>
      </c>
      <c r="E320" t="s">
        <v>15</v>
      </c>
      <c r="F320">
        <v>7</v>
      </c>
      <c r="G320" s="3">
        <v>5.74</v>
      </c>
      <c r="H320" s="3">
        <v>40.18</v>
      </c>
      <c r="I320" t="s">
        <v>43</v>
      </c>
      <c r="J320" t="e">
        <f t="shared" si="4"/>
        <v>#VALUE!</v>
      </c>
    </row>
    <row r="321" spans="1:10" x14ac:dyDescent="0.35">
      <c r="A321">
        <v>530</v>
      </c>
      <c r="B321" s="2">
        <v>46027</v>
      </c>
      <c r="C321" t="s">
        <v>34</v>
      </c>
      <c r="D321" t="s">
        <v>10</v>
      </c>
      <c r="E321" t="s">
        <v>15</v>
      </c>
      <c r="F321">
        <v>73</v>
      </c>
      <c r="G321" s="3">
        <v>4.28</v>
      </c>
      <c r="H321" s="3">
        <v>312.44</v>
      </c>
      <c r="I321" t="s">
        <v>43</v>
      </c>
      <c r="J321" t="e">
        <f t="shared" si="4"/>
        <v>#VALUE!</v>
      </c>
    </row>
    <row r="322" spans="1:10" x14ac:dyDescent="0.35">
      <c r="A322">
        <v>98</v>
      </c>
      <c r="B322" s="2">
        <v>46028</v>
      </c>
      <c r="C322" t="s">
        <v>32</v>
      </c>
      <c r="D322" t="s">
        <v>20</v>
      </c>
      <c r="E322" t="s">
        <v>11</v>
      </c>
      <c r="F322">
        <v>58</v>
      </c>
      <c r="G322" s="3">
        <v>3.26</v>
      </c>
      <c r="H322" s="3">
        <v>189.08</v>
      </c>
      <c r="I322" t="s">
        <v>43</v>
      </c>
      <c r="J322" t="e">
        <f t="shared" ref="J322:J385" si="5">(I323-I322)/I322</f>
        <v>#VALUE!</v>
      </c>
    </row>
    <row r="323" spans="1:10" x14ac:dyDescent="0.35">
      <c r="A323">
        <v>349</v>
      </c>
      <c r="B323" s="2">
        <v>46028</v>
      </c>
      <c r="C323" t="s">
        <v>18</v>
      </c>
      <c r="D323" t="s">
        <v>10</v>
      </c>
      <c r="E323" t="s">
        <v>15</v>
      </c>
      <c r="F323">
        <v>63</v>
      </c>
      <c r="G323" s="3">
        <v>6.15</v>
      </c>
      <c r="H323" s="3">
        <v>387.45</v>
      </c>
      <c r="I323" t="s">
        <v>43</v>
      </c>
      <c r="J323" t="e">
        <f t="shared" si="5"/>
        <v>#VALUE!</v>
      </c>
    </row>
    <row r="324" spans="1:10" x14ac:dyDescent="0.35">
      <c r="A324">
        <v>362</v>
      </c>
      <c r="B324" s="2">
        <v>46028</v>
      </c>
      <c r="C324" t="s">
        <v>32</v>
      </c>
      <c r="D324" t="s">
        <v>20</v>
      </c>
      <c r="E324" t="s">
        <v>11</v>
      </c>
      <c r="F324">
        <v>37</v>
      </c>
      <c r="G324" s="3">
        <v>3.33</v>
      </c>
      <c r="H324" s="3">
        <v>123.21</v>
      </c>
      <c r="I324" t="s">
        <v>43</v>
      </c>
      <c r="J324" t="e">
        <f t="shared" si="5"/>
        <v>#VALUE!</v>
      </c>
    </row>
    <row r="325" spans="1:10" x14ac:dyDescent="0.35">
      <c r="A325">
        <v>461</v>
      </c>
      <c r="B325" s="2">
        <v>46028</v>
      </c>
      <c r="C325" t="s">
        <v>31</v>
      </c>
      <c r="D325" t="s">
        <v>14</v>
      </c>
      <c r="E325" t="s">
        <v>11</v>
      </c>
      <c r="F325">
        <v>43</v>
      </c>
      <c r="G325" s="3">
        <v>6.19</v>
      </c>
      <c r="H325" s="3">
        <v>266.17</v>
      </c>
      <c r="I325" t="s">
        <v>43</v>
      </c>
      <c r="J325" t="e">
        <f t="shared" si="5"/>
        <v>#VALUE!</v>
      </c>
    </row>
    <row r="326" spans="1:10" x14ac:dyDescent="0.35">
      <c r="A326">
        <v>370</v>
      </c>
      <c r="B326" s="2">
        <v>46029</v>
      </c>
      <c r="C326" t="s">
        <v>13</v>
      </c>
      <c r="D326" t="s">
        <v>14</v>
      </c>
      <c r="E326" t="s">
        <v>15</v>
      </c>
      <c r="F326">
        <v>47</v>
      </c>
      <c r="G326" s="3">
        <v>1.74</v>
      </c>
      <c r="H326" s="3">
        <v>81.78</v>
      </c>
      <c r="I326" t="s">
        <v>43</v>
      </c>
      <c r="J326" t="e">
        <f t="shared" si="5"/>
        <v>#VALUE!</v>
      </c>
    </row>
    <row r="327" spans="1:10" x14ac:dyDescent="0.35">
      <c r="A327">
        <v>81</v>
      </c>
      <c r="B327" s="2">
        <v>46030</v>
      </c>
      <c r="C327" t="s">
        <v>37</v>
      </c>
      <c r="D327" t="s">
        <v>27</v>
      </c>
      <c r="E327" t="s">
        <v>11</v>
      </c>
      <c r="F327">
        <v>12</v>
      </c>
      <c r="G327" s="3">
        <v>8.41</v>
      </c>
      <c r="H327" s="3">
        <v>100.92</v>
      </c>
      <c r="I327" t="s">
        <v>43</v>
      </c>
      <c r="J327" t="e">
        <f t="shared" si="5"/>
        <v>#VALUE!</v>
      </c>
    </row>
    <row r="328" spans="1:10" x14ac:dyDescent="0.35">
      <c r="A328">
        <v>118</v>
      </c>
      <c r="B328" s="2">
        <v>46030</v>
      </c>
      <c r="C328" t="s">
        <v>36</v>
      </c>
      <c r="D328" t="s">
        <v>14</v>
      </c>
      <c r="E328" t="s">
        <v>15</v>
      </c>
      <c r="F328">
        <v>70</v>
      </c>
      <c r="G328" s="3">
        <v>2.2599999999999998</v>
      </c>
      <c r="H328" s="3">
        <v>158.19999999999999</v>
      </c>
      <c r="I328" t="s">
        <v>43</v>
      </c>
      <c r="J328" t="e">
        <f t="shared" si="5"/>
        <v>#VALUE!</v>
      </c>
    </row>
    <row r="329" spans="1:10" x14ac:dyDescent="0.35">
      <c r="A329">
        <v>307</v>
      </c>
      <c r="B329" s="2">
        <v>46030</v>
      </c>
      <c r="C329" t="s">
        <v>30</v>
      </c>
      <c r="D329" t="s">
        <v>14</v>
      </c>
      <c r="E329" t="s">
        <v>11</v>
      </c>
      <c r="F329">
        <v>38</v>
      </c>
      <c r="G329" s="3">
        <v>4.4400000000000004</v>
      </c>
      <c r="H329" s="3">
        <v>168.72</v>
      </c>
      <c r="I329" t="s">
        <v>43</v>
      </c>
      <c r="J329" t="e">
        <f t="shared" si="5"/>
        <v>#VALUE!</v>
      </c>
    </row>
    <row r="330" spans="1:10" x14ac:dyDescent="0.35">
      <c r="A330">
        <v>415</v>
      </c>
      <c r="B330" s="2">
        <v>46030</v>
      </c>
      <c r="C330" t="s">
        <v>25</v>
      </c>
      <c r="D330" t="s">
        <v>17</v>
      </c>
      <c r="E330" t="s">
        <v>15</v>
      </c>
      <c r="F330">
        <v>46</v>
      </c>
      <c r="G330" s="3">
        <v>2.14</v>
      </c>
      <c r="H330" s="3">
        <v>98.44</v>
      </c>
      <c r="I330" t="s">
        <v>43</v>
      </c>
      <c r="J330" t="e">
        <f t="shared" si="5"/>
        <v>#VALUE!</v>
      </c>
    </row>
    <row r="331" spans="1:10" x14ac:dyDescent="0.35">
      <c r="A331">
        <v>484</v>
      </c>
      <c r="B331" s="2">
        <v>46030</v>
      </c>
      <c r="C331" t="s">
        <v>13</v>
      </c>
      <c r="D331" t="s">
        <v>14</v>
      </c>
      <c r="E331" t="s">
        <v>15</v>
      </c>
      <c r="F331">
        <v>22</v>
      </c>
      <c r="G331" s="3">
        <v>1.93</v>
      </c>
      <c r="H331" s="3">
        <v>42.46</v>
      </c>
      <c r="I331" t="s">
        <v>43</v>
      </c>
      <c r="J331" t="e">
        <f t="shared" si="5"/>
        <v>#VALUE!</v>
      </c>
    </row>
    <row r="332" spans="1:10" x14ac:dyDescent="0.35">
      <c r="A332">
        <v>251</v>
      </c>
      <c r="B332" s="2">
        <v>46031</v>
      </c>
      <c r="C332" t="s">
        <v>18</v>
      </c>
      <c r="D332" t="s">
        <v>10</v>
      </c>
      <c r="E332" t="s">
        <v>15</v>
      </c>
      <c r="F332">
        <v>44</v>
      </c>
      <c r="G332" s="3">
        <v>6.29</v>
      </c>
      <c r="H332" s="3">
        <v>276.76</v>
      </c>
      <c r="I332" t="s">
        <v>43</v>
      </c>
      <c r="J332" t="e">
        <f t="shared" si="5"/>
        <v>#VALUE!</v>
      </c>
    </row>
    <row r="333" spans="1:10" x14ac:dyDescent="0.35">
      <c r="A333">
        <v>600</v>
      </c>
      <c r="B333" s="2">
        <v>46031</v>
      </c>
      <c r="C333" t="s">
        <v>32</v>
      </c>
      <c r="D333" t="s">
        <v>20</v>
      </c>
      <c r="E333" t="s">
        <v>11</v>
      </c>
      <c r="F333">
        <v>45</v>
      </c>
      <c r="G333" s="3">
        <v>3.32</v>
      </c>
      <c r="H333" s="3">
        <v>149.4</v>
      </c>
      <c r="I333" t="s">
        <v>43</v>
      </c>
      <c r="J333" t="e">
        <f t="shared" si="5"/>
        <v>#VALUE!</v>
      </c>
    </row>
    <row r="334" spans="1:10" x14ac:dyDescent="0.35">
      <c r="A334">
        <v>92</v>
      </c>
      <c r="B334" s="2">
        <v>46032</v>
      </c>
      <c r="C334" t="s">
        <v>21</v>
      </c>
      <c r="D334" t="s">
        <v>22</v>
      </c>
      <c r="E334" t="s">
        <v>11</v>
      </c>
      <c r="F334">
        <v>20</v>
      </c>
      <c r="G334" s="3">
        <v>4.9000000000000004</v>
      </c>
      <c r="H334" s="3">
        <v>98</v>
      </c>
      <c r="I334" t="s">
        <v>43</v>
      </c>
      <c r="J334" t="e">
        <f t="shared" si="5"/>
        <v>#VALUE!</v>
      </c>
    </row>
    <row r="335" spans="1:10" x14ac:dyDescent="0.35">
      <c r="A335">
        <v>144</v>
      </c>
      <c r="B335" s="2">
        <v>46032</v>
      </c>
      <c r="C335" t="s">
        <v>21</v>
      </c>
      <c r="D335" t="s">
        <v>22</v>
      </c>
      <c r="E335" t="s">
        <v>11</v>
      </c>
      <c r="F335">
        <v>35</v>
      </c>
      <c r="G335" s="3">
        <v>5.0599999999999996</v>
      </c>
      <c r="H335" s="3">
        <v>177.1</v>
      </c>
      <c r="I335" t="s">
        <v>43</v>
      </c>
      <c r="J335" t="e">
        <f t="shared" si="5"/>
        <v>#VALUE!</v>
      </c>
    </row>
    <row r="336" spans="1:10" x14ac:dyDescent="0.35">
      <c r="A336">
        <v>124</v>
      </c>
      <c r="B336" s="2">
        <v>46033</v>
      </c>
      <c r="C336" t="s">
        <v>21</v>
      </c>
      <c r="D336" t="s">
        <v>22</v>
      </c>
      <c r="E336" t="s">
        <v>11</v>
      </c>
      <c r="F336">
        <v>53</v>
      </c>
      <c r="G336" s="3">
        <v>5.38</v>
      </c>
      <c r="H336" s="3">
        <v>285.14</v>
      </c>
      <c r="I336" t="s">
        <v>43</v>
      </c>
      <c r="J336" t="e">
        <f t="shared" si="5"/>
        <v>#VALUE!</v>
      </c>
    </row>
    <row r="337" spans="1:10" x14ac:dyDescent="0.35">
      <c r="A337">
        <v>161</v>
      </c>
      <c r="B337" s="2">
        <v>46034</v>
      </c>
      <c r="C337" t="s">
        <v>34</v>
      </c>
      <c r="D337" t="s">
        <v>10</v>
      </c>
      <c r="E337" t="s">
        <v>15</v>
      </c>
      <c r="F337">
        <v>48</v>
      </c>
      <c r="G337" s="3">
        <v>4.2300000000000004</v>
      </c>
      <c r="H337" s="3">
        <v>203.04</v>
      </c>
      <c r="I337" t="s">
        <v>43</v>
      </c>
      <c r="J337" t="e">
        <f t="shared" si="5"/>
        <v>#VALUE!</v>
      </c>
    </row>
    <row r="338" spans="1:10" x14ac:dyDescent="0.35">
      <c r="A338">
        <v>371</v>
      </c>
      <c r="B338" s="2">
        <v>46034</v>
      </c>
      <c r="C338" t="s">
        <v>30</v>
      </c>
      <c r="D338" t="s">
        <v>14</v>
      </c>
      <c r="E338" t="s">
        <v>11</v>
      </c>
      <c r="F338">
        <v>41</v>
      </c>
      <c r="G338" s="3">
        <v>4.49</v>
      </c>
      <c r="H338" s="3">
        <v>184.09</v>
      </c>
      <c r="I338" t="s">
        <v>43</v>
      </c>
      <c r="J338" t="e">
        <f t="shared" si="5"/>
        <v>#VALUE!</v>
      </c>
    </row>
    <row r="339" spans="1:10" x14ac:dyDescent="0.35">
      <c r="A339">
        <v>468</v>
      </c>
      <c r="B339" s="2">
        <v>46034</v>
      </c>
      <c r="C339" t="s">
        <v>9</v>
      </c>
      <c r="D339" t="s">
        <v>10</v>
      </c>
      <c r="E339" t="s">
        <v>11</v>
      </c>
      <c r="F339">
        <v>25</v>
      </c>
      <c r="G339" s="3">
        <v>12.77</v>
      </c>
      <c r="H339" s="3">
        <v>319.25</v>
      </c>
      <c r="I339" t="s">
        <v>43</v>
      </c>
      <c r="J339" t="e">
        <f t="shared" si="5"/>
        <v>#VALUE!</v>
      </c>
    </row>
    <row r="340" spans="1:10" x14ac:dyDescent="0.35">
      <c r="A340">
        <v>212</v>
      </c>
      <c r="B340" s="2">
        <v>46036</v>
      </c>
      <c r="C340" t="s">
        <v>13</v>
      </c>
      <c r="D340" t="s">
        <v>14</v>
      </c>
      <c r="E340" t="s">
        <v>15</v>
      </c>
      <c r="F340">
        <v>66</v>
      </c>
      <c r="G340" s="3">
        <v>1.82</v>
      </c>
      <c r="H340" s="3">
        <v>120.12</v>
      </c>
      <c r="I340" t="s">
        <v>43</v>
      </c>
      <c r="J340" t="e">
        <f t="shared" si="5"/>
        <v>#VALUE!</v>
      </c>
    </row>
    <row r="341" spans="1:10" x14ac:dyDescent="0.35">
      <c r="A341">
        <v>410</v>
      </c>
      <c r="B341" s="2">
        <v>46036</v>
      </c>
      <c r="C341" t="s">
        <v>18</v>
      </c>
      <c r="D341" t="s">
        <v>10</v>
      </c>
      <c r="E341" t="s">
        <v>15</v>
      </c>
      <c r="F341">
        <v>65</v>
      </c>
      <c r="G341" s="3">
        <v>6</v>
      </c>
      <c r="H341" s="3">
        <v>390</v>
      </c>
      <c r="I341" t="s">
        <v>43</v>
      </c>
      <c r="J341" t="e">
        <f t="shared" si="5"/>
        <v>#VALUE!</v>
      </c>
    </row>
    <row r="342" spans="1:10" x14ac:dyDescent="0.35">
      <c r="A342">
        <v>413</v>
      </c>
      <c r="B342" s="2">
        <v>46036</v>
      </c>
      <c r="C342" t="s">
        <v>26</v>
      </c>
      <c r="D342" t="s">
        <v>27</v>
      </c>
      <c r="E342" t="s">
        <v>15</v>
      </c>
      <c r="F342">
        <v>47</v>
      </c>
      <c r="G342" s="3">
        <v>2.5</v>
      </c>
      <c r="H342" s="3">
        <v>117.5</v>
      </c>
      <c r="I342" t="s">
        <v>43</v>
      </c>
      <c r="J342" t="e">
        <f t="shared" si="5"/>
        <v>#VALUE!</v>
      </c>
    </row>
    <row r="343" spans="1:10" x14ac:dyDescent="0.35">
      <c r="A343">
        <v>553</v>
      </c>
      <c r="B343" s="2">
        <v>46036</v>
      </c>
      <c r="C343" t="s">
        <v>26</v>
      </c>
      <c r="D343" t="s">
        <v>27</v>
      </c>
      <c r="E343" t="s">
        <v>15</v>
      </c>
      <c r="F343">
        <v>41</v>
      </c>
      <c r="G343" s="3">
        <v>2.39</v>
      </c>
      <c r="H343" s="3">
        <v>97.99</v>
      </c>
      <c r="I343" t="s">
        <v>43</v>
      </c>
      <c r="J343" t="e">
        <f t="shared" si="5"/>
        <v>#VALUE!</v>
      </c>
    </row>
    <row r="344" spans="1:10" x14ac:dyDescent="0.35">
      <c r="A344">
        <v>472</v>
      </c>
      <c r="B344" s="2">
        <v>46039</v>
      </c>
      <c r="C344" t="s">
        <v>25</v>
      </c>
      <c r="D344" t="s">
        <v>17</v>
      </c>
      <c r="E344" t="s">
        <v>15</v>
      </c>
      <c r="F344">
        <v>27</v>
      </c>
      <c r="G344" s="3">
        <v>2.12</v>
      </c>
      <c r="H344" s="3">
        <v>57.24</v>
      </c>
      <c r="I344" t="s">
        <v>43</v>
      </c>
      <c r="J344" t="e">
        <f t="shared" si="5"/>
        <v>#VALUE!</v>
      </c>
    </row>
    <row r="345" spans="1:10" x14ac:dyDescent="0.35">
      <c r="A345">
        <v>512</v>
      </c>
      <c r="B345" s="2">
        <v>46039</v>
      </c>
      <c r="C345" t="s">
        <v>32</v>
      </c>
      <c r="D345" t="s">
        <v>20</v>
      </c>
      <c r="E345" t="s">
        <v>11</v>
      </c>
      <c r="F345">
        <v>38</v>
      </c>
      <c r="G345" s="3">
        <v>3.29</v>
      </c>
      <c r="H345" s="3">
        <v>125.02</v>
      </c>
      <c r="I345" t="s">
        <v>43</v>
      </c>
      <c r="J345" t="e">
        <f t="shared" si="5"/>
        <v>#VALUE!</v>
      </c>
    </row>
    <row r="346" spans="1:10" x14ac:dyDescent="0.35">
      <c r="A346">
        <v>278</v>
      </c>
      <c r="B346" s="2">
        <v>46040</v>
      </c>
      <c r="C346" t="s">
        <v>25</v>
      </c>
      <c r="D346" t="s">
        <v>17</v>
      </c>
      <c r="E346" t="s">
        <v>15</v>
      </c>
      <c r="F346">
        <v>19</v>
      </c>
      <c r="G346" s="3">
        <v>1.92</v>
      </c>
      <c r="H346" s="3">
        <v>36.479999999999997</v>
      </c>
      <c r="I346" t="s">
        <v>43</v>
      </c>
      <c r="J346" t="e">
        <f t="shared" si="5"/>
        <v>#VALUE!</v>
      </c>
    </row>
    <row r="347" spans="1:10" x14ac:dyDescent="0.35">
      <c r="A347">
        <v>31</v>
      </c>
      <c r="B347" s="2">
        <v>46041</v>
      </c>
      <c r="C347" t="s">
        <v>35</v>
      </c>
      <c r="D347" t="s">
        <v>17</v>
      </c>
      <c r="E347" t="s">
        <v>11</v>
      </c>
      <c r="F347">
        <v>70</v>
      </c>
      <c r="G347" s="3">
        <v>5.68</v>
      </c>
      <c r="H347" s="3">
        <v>397.6</v>
      </c>
      <c r="I347" t="s">
        <v>43</v>
      </c>
      <c r="J347" t="e">
        <f t="shared" si="5"/>
        <v>#VALUE!</v>
      </c>
    </row>
    <row r="348" spans="1:10" x14ac:dyDescent="0.35">
      <c r="A348">
        <v>318</v>
      </c>
      <c r="B348" s="2">
        <v>46041</v>
      </c>
      <c r="C348" t="s">
        <v>28</v>
      </c>
      <c r="D348" t="s">
        <v>20</v>
      </c>
      <c r="E348" t="s">
        <v>15</v>
      </c>
      <c r="F348">
        <v>60</v>
      </c>
      <c r="G348" s="3">
        <v>2.68</v>
      </c>
      <c r="H348" s="3">
        <v>160.80000000000001</v>
      </c>
      <c r="I348" t="s">
        <v>43</v>
      </c>
      <c r="J348" t="e">
        <f t="shared" si="5"/>
        <v>#VALUE!</v>
      </c>
    </row>
    <row r="349" spans="1:10" x14ac:dyDescent="0.35">
      <c r="A349">
        <v>69</v>
      </c>
      <c r="B349" s="2">
        <v>46042</v>
      </c>
      <c r="C349" t="s">
        <v>32</v>
      </c>
      <c r="D349" t="s">
        <v>20</v>
      </c>
      <c r="E349" t="s">
        <v>11</v>
      </c>
      <c r="F349">
        <v>5</v>
      </c>
      <c r="G349" s="3">
        <v>3.11</v>
      </c>
      <c r="H349" s="3">
        <v>15.55</v>
      </c>
      <c r="I349" t="s">
        <v>43</v>
      </c>
      <c r="J349" t="e">
        <f t="shared" si="5"/>
        <v>#VALUE!</v>
      </c>
    </row>
    <row r="350" spans="1:10" x14ac:dyDescent="0.35">
      <c r="A350">
        <v>532</v>
      </c>
      <c r="B350" s="2">
        <v>46042</v>
      </c>
      <c r="C350" t="s">
        <v>30</v>
      </c>
      <c r="D350" t="s">
        <v>14</v>
      </c>
      <c r="E350" t="s">
        <v>11</v>
      </c>
      <c r="F350">
        <v>53</v>
      </c>
      <c r="G350" s="3">
        <v>4.7</v>
      </c>
      <c r="H350" s="3">
        <v>249.1</v>
      </c>
      <c r="I350" t="s">
        <v>43</v>
      </c>
      <c r="J350" t="e">
        <f t="shared" si="5"/>
        <v>#VALUE!</v>
      </c>
    </row>
    <row r="351" spans="1:10" x14ac:dyDescent="0.35">
      <c r="A351">
        <v>263</v>
      </c>
      <c r="B351" s="2">
        <v>46043</v>
      </c>
      <c r="C351" t="s">
        <v>28</v>
      </c>
      <c r="D351" t="s">
        <v>20</v>
      </c>
      <c r="E351" t="s">
        <v>15</v>
      </c>
      <c r="F351">
        <v>51</v>
      </c>
      <c r="G351" s="3">
        <v>2.5299999999999998</v>
      </c>
      <c r="H351" s="3">
        <v>129.03</v>
      </c>
      <c r="I351" t="s">
        <v>43</v>
      </c>
      <c r="J351" t="e">
        <f t="shared" si="5"/>
        <v>#VALUE!</v>
      </c>
    </row>
    <row r="352" spans="1:10" x14ac:dyDescent="0.35">
      <c r="A352">
        <v>420</v>
      </c>
      <c r="B352" s="2">
        <v>46043</v>
      </c>
      <c r="C352" t="s">
        <v>28</v>
      </c>
      <c r="D352" t="s">
        <v>20</v>
      </c>
      <c r="E352" t="s">
        <v>15</v>
      </c>
      <c r="F352">
        <v>40</v>
      </c>
      <c r="G352" s="3">
        <v>2.5299999999999998</v>
      </c>
      <c r="H352" s="3">
        <v>101.2</v>
      </c>
      <c r="I352" t="s">
        <v>43</v>
      </c>
      <c r="J352" t="e">
        <f t="shared" si="5"/>
        <v>#VALUE!</v>
      </c>
    </row>
    <row r="353" spans="1:10" x14ac:dyDescent="0.35">
      <c r="A353">
        <v>574</v>
      </c>
      <c r="B353" s="2">
        <v>46043</v>
      </c>
      <c r="C353" t="s">
        <v>28</v>
      </c>
      <c r="D353" t="s">
        <v>20</v>
      </c>
      <c r="E353" t="s">
        <v>15</v>
      </c>
      <c r="F353">
        <v>57</v>
      </c>
      <c r="G353" s="3">
        <v>2.59</v>
      </c>
      <c r="H353" s="3">
        <v>147.63</v>
      </c>
      <c r="I353" t="s">
        <v>43</v>
      </c>
      <c r="J353" t="e">
        <f t="shared" si="5"/>
        <v>#VALUE!</v>
      </c>
    </row>
    <row r="354" spans="1:10" x14ac:dyDescent="0.35">
      <c r="A354">
        <v>130</v>
      </c>
      <c r="B354" s="2">
        <v>46045</v>
      </c>
      <c r="C354" t="s">
        <v>36</v>
      </c>
      <c r="D354" t="s">
        <v>14</v>
      </c>
      <c r="E354" t="s">
        <v>15</v>
      </c>
      <c r="F354">
        <v>68</v>
      </c>
      <c r="G354" s="3">
        <v>2.23</v>
      </c>
      <c r="H354" s="3">
        <v>151.63999999999999</v>
      </c>
      <c r="I354" t="s">
        <v>43</v>
      </c>
      <c r="J354" t="e">
        <f t="shared" si="5"/>
        <v>#VALUE!</v>
      </c>
    </row>
    <row r="355" spans="1:10" x14ac:dyDescent="0.35">
      <c r="A355">
        <v>279</v>
      </c>
      <c r="B355" s="2">
        <v>46045</v>
      </c>
      <c r="C355" t="s">
        <v>18</v>
      </c>
      <c r="D355" t="s">
        <v>10</v>
      </c>
      <c r="E355" t="s">
        <v>15</v>
      </c>
      <c r="F355">
        <v>75</v>
      </c>
      <c r="G355" s="3">
        <v>6.19</v>
      </c>
      <c r="H355" s="3">
        <v>464.25</v>
      </c>
      <c r="I355" t="s">
        <v>43</v>
      </c>
      <c r="J355" t="e">
        <f t="shared" si="5"/>
        <v>#VALUE!</v>
      </c>
    </row>
    <row r="356" spans="1:10" x14ac:dyDescent="0.35">
      <c r="A356">
        <v>258</v>
      </c>
      <c r="B356" s="2">
        <v>46046</v>
      </c>
      <c r="C356" t="s">
        <v>19</v>
      </c>
      <c r="D356" t="s">
        <v>20</v>
      </c>
      <c r="E356" t="s">
        <v>15</v>
      </c>
      <c r="F356">
        <v>80</v>
      </c>
      <c r="G356" s="3">
        <v>2.93</v>
      </c>
      <c r="H356" s="3">
        <v>234.4</v>
      </c>
      <c r="I356" t="s">
        <v>43</v>
      </c>
      <c r="J356" t="e">
        <f t="shared" si="5"/>
        <v>#VALUE!</v>
      </c>
    </row>
    <row r="357" spans="1:10" x14ac:dyDescent="0.35">
      <c r="A357">
        <v>194</v>
      </c>
      <c r="B357" s="2">
        <v>46047</v>
      </c>
      <c r="C357" t="s">
        <v>28</v>
      </c>
      <c r="D357" t="s">
        <v>20</v>
      </c>
      <c r="E357" t="s">
        <v>15</v>
      </c>
      <c r="F357">
        <v>54</v>
      </c>
      <c r="G357" s="3">
        <v>2.46</v>
      </c>
      <c r="H357" s="3">
        <v>132.84</v>
      </c>
      <c r="I357" t="s">
        <v>43</v>
      </c>
      <c r="J357" t="e">
        <f t="shared" si="5"/>
        <v>#VALUE!</v>
      </c>
    </row>
    <row r="358" spans="1:10" x14ac:dyDescent="0.35">
      <c r="A358">
        <v>459</v>
      </c>
      <c r="B358" s="2">
        <v>46048</v>
      </c>
      <c r="C358" t="s">
        <v>9</v>
      </c>
      <c r="D358" t="s">
        <v>10</v>
      </c>
      <c r="E358" t="s">
        <v>11</v>
      </c>
      <c r="F358">
        <v>57</v>
      </c>
      <c r="G358" s="3">
        <v>11.57</v>
      </c>
      <c r="H358" s="3">
        <v>659.49</v>
      </c>
      <c r="I358" t="s">
        <v>43</v>
      </c>
      <c r="J358" t="e">
        <f t="shared" si="5"/>
        <v>#VALUE!</v>
      </c>
    </row>
    <row r="359" spans="1:10" x14ac:dyDescent="0.35">
      <c r="A359">
        <v>583</v>
      </c>
      <c r="B359" s="2">
        <v>46048</v>
      </c>
      <c r="C359" t="s">
        <v>21</v>
      </c>
      <c r="D359" t="s">
        <v>22</v>
      </c>
      <c r="E359" t="s">
        <v>11</v>
      </c>
      <c r="F359">
        <v>34</v>
      </c>
      <c r="G359" s="3">
        <v>4.8600000000000003</v>
      </c>
      <c r="H359" s="3">
        <v>165.24</v>
      </c>
      <c r="I359" t="s">
        <v>43</v>
      </c>
      <c r="J359" t="e">
        <f t="shared" si="5"/>
        <v>#VALUE!</v>
      </c>
    </row>
    <row r="360" spans="1:10" x14ac:dyDescent="0.35">
      <c r="A360">
        <v>454</v>
      </c>
      <c r="B360" s="2">
        <v>46050</v>
      </c>
      <c r="C360" t="s">
        <v>32</v>
      </c>
      <c r="D360" t="s">
        <v>20</v>
      </c>
      <c r="E360" t="s">
        <v>11</v>
      </c>
      <c r="F360">
        <v>44</v>
      </c>
      <c r="G360" s="3">
        <v>3.17</v>
      </c>
      <c r="H360" s="3">
        <v>139.47999999999999</v>
      </c>
      <c r="I360" t="s">
        <v>43</v>
      </c>
      <c r="J360" t="e">
        <f t="shared" si="5"/>
        <v>#VALUE!</v>
      </c>
    </row>
    <row r="361" spans="1:10" x14ac:dyDescent="0.35">
      <c r="A361">
        <v>369</v>
      </c>
      <c r="B361" s="2">
        <v>46051</v>
      </c>
      <c r="C361" t="s">
        <v>28</v>
      </c>
      <c r="D361" t="s">
        <v>20</v>
      </c>
      <c r="E361" t="s">
        <v>15</v>
      </c>
      <c r="F361">
        <v>52</v>
      </c>
      <c r="G361" s="3">
        <v>2.46</v>
      </c>
      <c r="H361" s="3">
        <v>127.92</v>
      </c>
      <c r="I361" t="s">
        <v>43</v>
      </c>
      <c r="J361" t="e">
        <f t="shared" si="5"/>
        <v>#VALUE!</v>
      </c>
    </row>
    <row r="362" spans="1:10" x14ac:dyDescent="0.35">
      <c r="A362">
        <v>326</v>
      </c>
      <c r="B362" s="2">
        <v>46052</v>
      </c>
      <c r="C362" t="s">
        <v>24</v>
      </c>
      <c r="D362" t="s">
        <v>10</v>
      </c>
      <c r="E362" t="s">
        <v>11</v>
      </c>
      <c r="F362">
        <v>54</v>
      </c>
      <c r="G362" s="3">
        <v>15.51</v>
      </c>
      <c r="H362" s="3">
        <v>837.54</v>
      </c>
      <c r="I362" t="s">
        <v>43</v>
      </c>
      <c r="J362" t="e">
        <f t="shared" si="5"/>
        <v>#VALUE!</v>
      </c>
    </row>
    <row r="363" spans="1:10" x14ac:dyDescent="0.35">
      <c r="A363">
        <v>375</v>
      </c>
      <c r="B363" s="2">
        <v>46052</v>
      </c>
      <c r="C363" t="s">
        <v>33</v>
      </c>
      <c r="D363" t="s">
        <v>20</v>
      </c>
      <c r="E363" t="s">
        <v>11</v>
      </c>
      <c r="F363">
        <v>42</v>
      </c>
      <c r="G363" s="3">
        <v>5.86</v>
      </c>
      <c r="H363" s="3">
        <v>246.12</v>
      </c>
      <c r="I363" t="s">
        <v>43</v>
      </c>
      <c r="J363" t="e">
        <f t="shared" si="5"/>
        <v>#VALUE!</v>
      </c>
    </row>
    <row r="364" spans="1:10" x14ac:dyDescent="0.35">
      <c r="A364">
        <v>433</v>
      </c>
      <c r="B364" s="2">
        <v>46052</v>
      </c>
      <c r="C364" t="s">
        <v>33</v>
      </c>
      <c r="D364" t="s">
        <v>20</v>
      </c>
      <c r="E364" t="s">
        <v>11</v>
      </c>
      <c r="F364">
        <v>38</v>
      </c>
      <c r="G364" s="3">
        <v>5.55</v>
      </c>
      <c r="H364" s="3">
        <v>210.9</v>
      </c>
      <c r="I364" t="s">
        <v>43</v>
      </c>
      <c r="J364" t="e">
        <f t="shared" si="5"/>
        <v>#VALUE!</v>
      </c>
    </row>
    <row r="365" spans="1:10" x14ac:dyDescent="0.35">
      <c r="A365">
        <v>479</v>
      </c>
      <c r="B365" s="2">
        <v>46052</v>
      </c>
      <c r="C365" t="s">
        <v>36</v>
      </c>
      <c r="D365" t="s">
        <v>14</v>
      </c>
      <c r="E365" t="s">
        <v>15</v>
      </c>
      <c r="F365">
        <v>43</v>
      </c>
      <c r="G365" s="3">
        <v>2.13</v>
      </c>
      <c r="H365" s="3">
        <v>91.59</v>
      </c>
      <c r="I365" t="s">
        <v>43</v>
      </c>
      <c r="J365" t="e">
        <f t="shared" si="5"/>
        <v>#VALUE!</v>
      </c>
    </row>
    <row r="366" spans="1:10" x14ac:dyDescent="0.35">
      <c r="A366">
        <v>531</v>
      </c>
      <c r="B366" s="2">
        <v>46052</v>
      </c>
      <c r="C366" t="s">
        <v>18</v>
      </c>
      <c r="D366" t="s">
        <v>10</v>
      </c>
      <c r="E366" t="s">
        <v>15</v>
      </c>
      <c r="F366">
        <v>95</v>
      </c>
      <c r="G366" s="3">
        <v>6.2</v>
      </c>
      <c r="H366" s="3">
        <v>589</v>
      </c>
      <c r="I366" t="s">
        <v>43</v>
      </c>
      <c r="J366" t="e">
        <f t="shared" si="5"/>
        <v>#VALUE!</v>
      </c>
    </row>
    <row r="367" spans="1:10" x14ac:dyDescent="0.35">
      <c r="A367">
        <v>2</v>
      </c>
      <c r="B367" s="2">
        <v>46053</v>
      </c>
      <c r="C367" t="s">
        <v>29</v>
      </c>
      <c r="D367" t="s">
        <v>22</v>
      </c>
      <c r="E367" t="s">
        <v>15</v>
      </c>
      <c r="F367">
        <v>82</v>
      </c>
      <c r="G367" s="3">
        <v>1.49</v>
      </c>
      <c r="H367" s="3">
        <v>122.18</v>
      </c>
      <c r="I367" t="s">
        <v>43</v>
      </c>
      <c r="J367" t="e">
        <f t="shared" si="5"/>
        <v>#VALUE!</v>
      </c>
    </row>
    <row r="368" spans="1:10" x14ac:dyDescent="0.35">
      <c r="A368">
        <v>12</v>
      </c>
      <c r="B368" s="2">
        <v>46053</v>
      </c>
      <c r="C368" t="s">
        <v>18</v>
      </c>
      <c r="D368" t="s">
        <v>10</v>
      </c>
      <c r="E368" t="s">
        <v>15</v>
      </c>
      <c r="F368">
        <v>70</v>
      </c>
      <c r="G368" s="3">
        <v>6.28</v>
      </c>
      <c r="H368" s="3">
        <v>439.6</v>
      </c>
      <c r="I368" t="s">
        <v>43</v>
      </c>
      <c r="J368" t="e">
        <f t="shared" si="5"/>
        <v>#VALUE!</v>
      </c>
    </row>
    <row r="369" spans="1:10" x14ac:dyDescent="0.35">
      <c r="A369">
        <v>403</v>
      </c>
      <c r="B369" s="2">
        <v>46054</v>
      </c>
      <c r="C369" t="s">
        <v>16</v>
      </c>
      <c r="D369" t="s">
        <v>17</v>
      </c>
      <c r="E369" t="s">
        <v>15</v>
      </c>
      <c r="F369">
        <v>88</v>
      </c>
      <c r="G369" s="3">
        <v>2.2599999999999998</v>
      </c>
      <c r="H369" s="3">
        <v>198.88</v>
      </c>
      <c r="I369" t="s">
        <v>44</v>
      </c>
      <c r="J369" t="e">
        <f t="shared" si="5"/>
        <v>#VALUE!</v>
      </c>
    </row>
    <row r="370" spans="1:10" x14ac:dyDescent="0.35">
      <c r="A370">
        <v>450</v>
      </c>
      <c r="B370" s="2">
        <v>46054</v>
      </c>
      <c r="C370" t="s">
        <v>24</v>
      </c>
      <c r="D370" t="s">
        <v>10</v>
      </c>
      <c r="E370" t="s">
        <v>11</v>
      </c>
      <c r="F370">
        <v>58</v>
      </c>
      <c r="G370" s="3">
        <v>15.97</v>
      </c>
      <c r="H370" s="3">
        <v>926.26</v>
      </c>
      <c r="I370" t="s">
        <v>44</v>
      </c>
      <c r="J370" t="e">
        <f t="shared" si="5"/>
        <v>#VALUE!</v>
      </c>
    </row>
    <row r="371" spans="1:10" x14ac:dyDescent="0.35">
      <c r="A371">
        <v>473</v>
      </c>
      <c r="B371" s="2">
        <v>46054</v>
      </c>
      <c r="C371" t="s">
        <v>28</v>
      </c>
      <c r="D371" t="s">
        <v>20</v>
      </c>
      <c r="E371" t="s">
        <v>15</v>
      </c>
      <c r="F371">
        <v>45</v>
      </c>
      <c r="G371" s="3">
        <v>2.67</v>
      </c>
      <c r="H371" s="3">
        <v>120.15</v>
      </c>
      <c r="I371" t="s">
        <v>44</v>
      </c>
      <c r="J371" t="e">
        <f t="shared" si="5"/>
        <v>#VALUE!</v>
      </c>
    </row>
    <row r="372" spans="1:10" x14ac:dyDescent="0.35">
      <c r="A372">
        <v>298</v>
      </c>
      <c r="B372" s="2">
        <v>46055</v>
      </c>
      <c r="C372" t="s">
        <v>37</v>
      </c>
      <c r="D372" t="s">
        <v>27</v>
      </c>
      <c r="E372" t="s">
        <v>11</v>
      </c>
      <c r="F372">
        <v>41</v>
      </c>
      <c r="G372" s="3">
        <v>8.1999999999999993</v>
      </c>
      <c r="H372" s="3">
        <v>336.2</v>
      </c>
      <c r="I372" t="s">
        <v>44</v>
      </c>
      <c r="J372" t="e">
        <f t="shared" si="5"/>
        <v>#VALUE!</v>
      </c>
    </row>
    <row r="373" spans="1:10" x14ac:dyDescent="0.35">
      <c r="A373">
        <v>11</v>
      </c>
      <c r="B373" s="2">
        <v>46056</v>
      </c>
      <c r="C373" t="s">
        <v>26</v>
      </c>
      <c r="D373" t="s">
        <v>27</v>
      </c>
      <c r="E373" t="s">
        <v>15</v>
      </c>
      <c r="F373">
        <v>58</v>
      </c>
      <c r="G373" s="3">
        <v>2.67</v>
      </c>
      <c r="H373" s="3">
        <v>154.86000000000001</v>
      </c>
      <c r="I373" t="s">
        <v>44</v>
      </c>
      <c r="J373" t="e">
        <f t="shared" si="5"/>
        <v>#VALUE!</v>
      </c>
    </row>
    <row r="374" spans="1:10" x14ac:dyDescent="0.35">
      <c r="A374">
        <v>30</v>
      </c>
      <c r="B374" s="2">
        <v>46056</v>
      </c>
      <c r="C374" t="s">
        <v>13</v>
      </c>
      <c r="D374" t="s">
        <v>14</v>
      </c>
      <c r="E374" t="s">
        <v>15</v>
      </c>
      <c r="F374">
        <v>74</v>
      </c>
      <c r="G374" s="3">
        <v>1.87</v>
      </c>
      <c r="H374" s="3">
        <v>138.38</v>
      </c>
      <c r="I374" t="s">
        <v>44</v>
      </c>
      <c r="J374" t="e">
        <f t="shared" si="5"/>
        <v>#VALUE!</v>
      </c>
    </row>
    <row r="375" spans="1:10" x14ac:dyDescent="0.35">
      <c r="A375">
        <v>167</v>
      </c>
      <c r="B375" s="2">
        <v>46056</v>
      </c>
      <c r="C375" t="s">
        <v>32</v>
      </c>
      <c r="D375" t="s">
        <v>20</v>
      </c>
      <c r="E375" t="s">
        <v>11</v>
      </c>
      <c r="F375">
        <v>40</v>
      </c>
      <c r="G375" s="3">
        <v>3.34</v>
      </c>
      <c r="H375" s="3">
        <v>133.6</v>
      </c>
      <c r="I375" t="s">
        <v>44</v>
      </c>
      <c r="J375" t="e">
        <f t="shared" si="5"/>
        <v>#VALUE!</v>
      </c>
    </row>
    <row r="376" spans="1:10" x14ac:dyDescent="0.35">
      <c r="A376">
        <v>303</v>
      </c>
      <c r="B376" s="2">
        <v>46056</v>
      </c>
      <c r="C376" t="s">
        <v>25</v>
      </c>
      <c r="D376" t="s">
        <v>17</v>
      </c>
      <c r="E376" t="s">
        <v>15</v>
      </c>
      <c r="F376">
        <v>98</v>
      </c>
      <c r="G376" s="3">
        <v>2.13</v>
      </c>
      <c r="H376" s="3">
        <v>208.74</v>
      </c>
      <c r="I376" t="s">
        <v>44</v>
      </c>
      <c r="J376" t="e">
        <f t="shared" si="5"/>
        <v>#VALUE!</v>
      </c>
    </row>
    <row r="377" spans="1:10" x14ac:dyDescent="0.35">
      <c r="A377">
        <v>367</v>
      </c>
      <c r="B377" s="2">
        <v>46057</v>
      </c>
      <c r="C377" t="s">
        <v>13</v>
      </c>
      <c r="D377" t="s">
        <v>14</v>
      </c>
      <c r="E377" t="s">
        <v>15</v>
      </c>
      <c r="F377">
        <v>45</v>
      </c>
      <c r="G377" s="3">
        <v>1.84</v>
      </c>
      <c r="H377" s="3">
        <v>82.8</v>
      </c>
      <c r="I377" t="s">
        <v>44</v>
      </c>
      <c r="J377" t="e">
        <f t="shared" si="5"/>
        <v>#VALUE!</v>
      </c>
    </row>
    <row r="378" spans="1:10" x14ac:dyDescent="0.35">
      <c r="A378">
        <v>527</v>
      </c>
      <c r="B378" s="2">
        <v>46057</v>
      </c>
      <c r="C378" t="s">
        <v>29</v>
      </c>
      <c r="D378" t="s">
        <v>22</v>
      </c>
      <c r="E378" t="s">
        <v>15</v>
      </c>
      <c r="F378">
        <v>82</v>
      </c>
      <c r="G378" s="3">
        <v>1.58</v>
      </c>
      <c r="H378" s="3">
        <v>129.56</v>
      </c>
      <c r="I378" t="s">
        <v>44</v>
      </c>
      <c r="J378" t="e">
        <f t="shared" si="5"/>
        <v>#VALUE!</v>
      </c>
    </row>
    <row r="379" spans="1:10" x14ac:dyDescent="0.35">
      <c r="A379">
        <v>48</v>
      </c>
      <c r="B379" s="2">
        <v>46058</v>
      </c>
      <c r="C379" t="s">
        <v>9</v>
      </c>
      <c r="D379" t="s">
        <v>10</v>
      </c>
      <c r="E379" t="s">
        <v>11</v>
      </c>
      <c r="F379">
        <v>42</v>
      </c>
      <c r="G379" s="3">
        <v>11.98</v>
      </c>
      <c r="H379" s="3">
        <v>503.16</v>
      </c>
      <c r="I379" t="s">
        <v>44</v>
      </c>
      <c r="J379" t="e">
        <f t="shared" si="5"/>
        <v>#VALUE!</v>
      </c>
    </row>
    <row r="380" spans="1:10" x14ac:dyDescent="0.35">
      <c r="A380">
        <v>68</v>
      </c>
      <c r="B380" s="2">
        <v>46058</v>
      </c>
      <c r="C380" t="s">
        <v>32</v>
      </c>
      <c r="D380" t="s">
        <v>20</v>
      </c>
      <c r="E380" t="s">
        <v>11</v>
      </c>
      <c r="F380">
        <v>32</v>
      </c>
      <c r="G380" s="3">
        <v>3.17</v>
      </c>
      <c r="H380" s="3">
        <v>101.44</v>
      </c>
      <c r="I380" t="s">
        <v>44</v>
      </c>
      <c r="J380" t="e">
        <f t="shared" si="5"/>
        <v>#VALUE!</v>
      </c>
    </row>
    <row r="381" spans="1:10" x14ac:dyDescent="0.35">
      <c r="A381">
        <v>106</v>
      </c>
      <c r="B381" s="2">
        <v>46058</v>
      </c>
      <c r="C381" t="s">
        <v>19</v>
      </c>
      <c r="D381" t="s">
        <v>20</v>
      </c>
      <c r="E381" t="s">
        <v>15</v>
      </c>
      <c r="F381">
        <v>61</v>
      </c>
      <c r="G381" s="3">
        <v>3.21</v>
      </c>
      <c r="H381" s="3">
        <v>195.81</v>
      </c>
      <c r="I381" t="s">
        <v>44</v>
      </c>
      <c r="J381" t="e">
        <f t="shared" si="5"/>
        <v>#VALUE!</v>
      </c>
    </row>
    <row r="382" spans="1:10" x14ac:dyDescent="0.35">
      <c r="A382">
        <v>280</v>
      </c>
      <c r="B382" s="2">
        <v>46058</v>
      </c>
      <c r="C382" t="s">
        <v>34</v>
      </c>
      <c r="D382" t="s">
        <v>10</v>
      </c>
      <c r="E382" t="s">
        <v>15</v>
      </c>
      <c r="F382">
        <v>50</v>
      </c>
      <c r="G382" s="3">
        <v>4.0599999999999996</v>
      </c>
      <c r="H382" s="3">
        <v>203</v>
      </c>
      <c r="I382" t="s">
        <v>44</v>
      </c>
      <c r="J382" t="e">
        <f t="shared" si="5"/>
        <v>#VALUE!</v>
      </c>
    </row>
    <row r="383" spans="1:10" x14ac:dyDescent="0.35">
      <c r="A383">
        <v>381</v>
      </c>
      <c r="B383" s="2">
        <v>46058</v>
      </c>
      <c r="C383" t="s">
        <v>13</v>
      </c>
      <c r="D383" t="s">
        <v>14</v>
      </c>
      <c r="E383" t="s">
        <v>15</v>
      </c>
      <c r="F383">
        <v>65</v>
      </c>
      <c r="G383" s="3">
        <v>1.8</v>
      </c>
      <c r="H383" s="3">
        <v>117</v>
      </c>
      <c r="I383" t="s">
        <v>44</v>
      </c>
      <c r="J383" t="e">
        <f t="shared" si="5"/>
        <v>#VALUE!</v>
      </c>
    </row>
    <row r="384" spans="1:10" x14ac:dyDescent="0.35">
      <c r="A384">
        <v>70</v>
      </c>
      <c r="B384" s="2">
        <v>46060</v>
      </c>
      <c r="C384" t="s">
        <v>31</v>
      </c>
      <c r="D384" t="s">
        <v>14</v>
      </c>
      <c r="E384" t="s">
        <v>11</v>
      </c>
      <c r="F384">
        <v>26</v>
      </c>
      <c r="G384" s="3">
        <v>6.7</v>
      </c>
      <c r="H384" s="3">
        <v>174.2</v>
      </c>
      <c r="I384" t="s">
        <v>44</v>
      </c>
      <c r="J384" t="e">
        <f t="shared" si="5"/>
        <v>#VALUE!</v>
      </c>
    </row>
    <row r="385" spans="1:10" x14ac:dyDescent="0.35">
      <c r="A385">
        <v>117</v>
      </c>
      <c r="B385" s="2">
        <v>46060</v>
      </c>
      <c r="C385" t="s">
        <v>32</v>
      </c>
      <c r="D385" t="s">
        <v>20</v>
      </c>
      <c r="E385" t="s">
        <v>11</v>
      </c>
      <c r="F385">
        <v>71</v>
      </c>
      <c r="G385" s="3">
        <v>3.13</v>
      </c>
      <c r="H385" s="3">
        <v>222.23</v>
      </c>
      <c r="I385" t="s">
        <v>44</v>
      </c>
      <c r="J385" t="e">
        <f t="shared" si="5"/>
        <v>#VALUE!</v>
      </c>
    </row>
    <row r="386" spans="1:10" x14ac:dyDescent="0.35">
      <c r="A386">
        <v>261</v>
      </c>
      <c r="B386" s="2">
        <v>46060</v>
      </c>
      <c r="C386" t="s">
        <v>16</v>
      </c>
      <c r="D386" t="s">
        <v>17</v>
      </c>
      <c r="E386" t="s">
        <v>15</v>
      </c>
      <c r="F386">
        <v>29</v>
      </c>
      <c r="G386" s="3">
        <v>2.25</v>
      </c>
      <c r="H386" s="3">
        <v>65.25</v>
      </c>
      <c r="I386" t="s">
        <v>44</v>
      </c>
      <c r="J386" t="e">
        <f t="shared" ref="J386:J449" si="6">(I387-I386)/I386</f>
        <v>#VALUE!</v>
      </c>
    </row>
    <row r="387" spans="1:10" x14ac:dyDescent="0.35">
      <c r="A387">
        <v>142</v>
      </c>
      <c r="B387" s="2">
        <v>46061</v>
      </c>
      <c r="C387" t="s">
        <v>31</v>
      </c>
      <c r="D387" t="s">
        <v>14</v>
      </c>
      <c r="E387" t="s">
        <v>11</v>
      </c>
      <c r="F387">
        <v>57</v>
      </c>
      <c r="G387" s="3">
        <v>6.99</v>
      </c>
      <c r="H387" s="3">
        <v>398.43</v>
      </c>
      <c r="I387" t="s">
        <v>44</v>
      </c>
      <c r="J387" t="e">
        <f t="shared" si="6"/>
        <v>#VALUE!</v>
      </c>
    </row>
    <row r="388" spans="1:10" x14ac:dyDescent="0.35">
      <c r="A388">
        <v>570</v>
      </c>
      <c r="B388" s="2">
        <v>46062</v>
      </c>
      <c r="C388" t="s">
        <v>35</v>
      </c>
      <c r="D388" t="s">
        <v>17</v>
      </c>
      <c r="E388" t="s">
        <v>11</v>
      </c>
      <c r="F388">
        <v>48</v>
      </c>
      <c r="G388" s="3">
        <v>5.38</v>
      </c>
      <c r="H388" s="3">
        <v>258.24</v>
      </c>
      <c r="I388" t="s">
        <v>44</v>
      </c>
      <c r="J388" t="e">
        <f t="shared" si="6"/>
        <v>#VALUE!</v>
      </c>
    </row>
    <row r="389" spans="1:10" x14ac:dyDescent="0.35">
      <c r="A389">
        <v>493</v>
      </c>
      <c r="B389" s="2">
        <v>46063</v>
      </c>
      <c r="C389" t="s">
        <v>32</v>
      </c>
      <c r="D389" t="s">
        <v>20</v>
      </c>
      <c r="E389" t="s">
        <v>11</v>
      </c>
      <c r="F389">
        <v>54</v>
      </c>
      <c r="G389" s="3">
        <v>3.32</v>
      </c>
      <c r="H389" s="3">
        <v>179.28</v>
      </c>
      <c r="I389" t="s">
        <v>44</v>
      </c>
      <c r="J389" t="e">
        <f t="shared" si="6"/>
        <v>#VALUE!</v>
      </c>
    </row>
    <row r="390" spans="1:10" x14ac:dyDescent="0.35">
      <c r="A390">
        <v>573</v>
      </c>
      <c r="B390" s="2">
        <v>46063</v>
      </c>
      <c r="C390" t="s">
        <v>33</v>
      </c>
      <c r="D390" t="s">
        <v>20</v>
      </c>
      <c r="E390" t="s">
        <v>11</v>
      </c>
      <c r="F390">
        <v>50</v>
      </c>
      <c r="G390" s="3">
        <v>5.66</v>
      </c>
      <c r="H390" s="3">
        <v>283</v>
      </c>
      <c r="I390" t="s">
        <v>44</v>
      </c>
      <c r="J390" t="e">
        <f t="shared" si="6"/>
        <v>#VALUE!</v>
      </c>
    </row>
    <row r="391" spans="1:10" x14ac:dyDescent="0.35">
      <c r="A391">
        <v>229</v>
      </c>
      <c r="B391" s="2">
        <v>46064</v>
      </c>
      <c r="C391" t="s">
        <v>19</v>
      </c>
      <c r="D391" t="s">
        <v>20</v>
      </c>
      <c r="E391" t="s">
        <v>15</v>
      </c>
      <c r="F391">
        <v>43</v>
      </c>
      <c r="G391" s="3">
        <v>2.87</v>
      </c>
      <c r="H391" s="3">
        <v>123.41</v>
      </c>
      <c r="I391" t="s">
        <v>44</v>
      </c>
      <c r="J391" t="e">
        <f t="shared" si="6"/>
        <v>#VALUE!</v>
      </c>
    </row>
    <row r="392" spans="1:10" x14ac:dyDescent="0.35">
      <c r="A392">
        <v>347</v>
      </c>
      <c r="B392" s="2">
        <v>46064</v>
      </c>
      <c r="C392" t="s">
        <v>32</v>
      </c>
      <c r="D392" t="s">
        <v>20</v>
      </c>
      <c r="E392" t="s">
        <v>11</v>
      </c>
      <c r="F392">
        <v>32</v>
      </c>
      <c r="G392" s="3">
        <v>3.2</v>
      </c>
      <c r="H392" s="3">
        <v>102.4</v>
      </c>
      <c r="I392" t="s">
        <v>44</v>
      </c>
      <c r="J392" t="e">
        <f t="shared" si="6"/>
        <v>#VALUE!</v>
      </c>
    </row>
    <row r="393" spans="1:10" x14ac:dyDescent="0.35">
      <c r="A393">
        <v>232</v>
      </c>
      <c r="B393" s="2">
        <v>46065</v>
      </c>
      <c r="C393" t="s">
        <v>16</v>
      </c>
      <c r="D393" t="s">
        <v>17</v>
      </c>
      <c r="E393" t="s">
        <v>15</v>
      </c>
      <c r="F393">
        <v>54</v>
      </c>
      <c r="G393" s="3">
        <v>2.2999999999999998</v>
      </c>
      <c r="H393" s="3">
        <v>124.2</v>
      </c>
      <c r="I393" t="s">
        <v>44</v>
      </c>
      <c r="J393" t="e">
        <f t="shared" si="6"/>
        <v>#VALUE!</v>
      </c>
    </row>
    <row r="394" spans="1:10" x14ac:dyDescent="0.35">
      <c r="A394">
        <v>559</v>
      </c>
      <c r="B394" s="2">
        <v>46065</v>
      </c>
      <c r="C394" t="s">
        <v>28</v>
      </c>
      <c r="D394" t="s">
        <v>20</v>
      </c>
      <c r="E394" t="s">
        <v>15</v>
      </c>
      <c r="F394">
        <v>49</v>
      </c>
      <c r="G394" s="3">
        <v>2.5499999999999998</v>
      </c>
      <c r="H394" s="3">
        <v>124.95</v>
      </c>
      <c r="I394" t="s">
        <v>44</v>
      </c>
      <c r="J394" t="e">
        <f t="shared" si="6"/>
        <v>#VALUE!</v>
      </c>
    </row>
    <row r="395" spans="1:10" x14ac:dyDescent="0.35">
      <c r="A395">
        <v>282</v>
      </c>
      <c r="B395" s="2">
        <v>46066</v>
      </c>
      <c r="C395" t="s">
        <v>16</v>
      </c>
      <c r="D395" t="s">
        <v>17</v>
      </c>
      <c r="E395" t="s">
        <v>15</v>
      </c>
      <c r="F395">
        <v>56</v>
      </c>
      <c r="G395" s="3">
        <v>2.3199999999999998</v>
      </c>
      <c r="H395" s="3">
        <v>129.91999999999999</v>
      </c>
      <c r="I395" t="s">
        <v>44</v>
      </c>
      <c r="J395" t="e">
        <f t="shared" si="6"/>
        <v>#VALUE!</v>
      </c>
    </row>
    <row r="396" spans="1:10" x14ac:dyDescent="0.35">
      <c r="A396">
        <v>407</v>
      </c>
      <c r="B396" s="2">
        <v>46066</v>
      </c>
      <c r="C396" t="s">
        <v>29</v>
      </c>
      <c r="D396" t="s">
        <v>22</v>
      </c>
      <c r="E396" t="s">
        <v>15</v>
      </c>
      <c r="F396">
        <v>53</v>
      </c>
      <c r="G396" s="3">
        <v>1.54</v>
      </c>
      <c r="H396" s="3">
        <v>81.62</v>
      </c>
      <c r="I396" t="s">
        <v>44</v>
      </c>
      <c r="J396" t="e">
        <f t="shared" si="6"/>
        <v>#VALUE!</v>
      </c>
    </row>
    <row r="397" spans="1:10" x14ac:dyDescent="0.35">
      <c r="A397">
        <v>139</v>
      </c>
      <c r="B397" s="2">
        <v>46067</v>
      </c>
      <c r="C397" t="s">
        <v>28</v>
      </c>
      <c r="D397" t="s">
        <v>20</v>
      </c>
      <c r="E397" t="s">
        <v>15</v>
      </c>
      <c r="F397">
        <v>43</v>
      </c>
      <c r="G397" s="3">
        <v>2.5299999999999998</v>
      </c>
      <c r="H397" s="3">
        <v>108.79</v>
      </c>
      <c r="I397" t="s">
        <v>44</v>
      </c>
      <c r="J397" t="e">
        <f t="shared" si="6"/>
        <v>#VALUE!</v>
      </c>
    </row>
    <row r="398" spans="1:10" x14ac:dyDescent="0.35">
      <c r="A398">
        <v>91</v>
      </c>
      <c r="B398" s="2">
        <v>46068</v>
      </c>
      <c r="C398" t="s">
        <v>31</v>
      </c>
      <c r="D398" t="s">
        <v>14</v>
      </c>
      <c r="E398" t="s">
        <v>11</v>
      </c>
      <c r="F398">
        <v>35</v>
      </c>
      <c r="G398" s="3">
        <v>6.93</v>
      </c>
      <c r="H398" s="3">
        <v>242.55</v>
      </c>
      <c r="I398" t="s">
        <v>44</v>
      </c>
      <c r="J398" t="e">
        <f t="shared" si="6"/>
        <v>#VALUE!</v>
      </c>
    </row>
    <row r="399" spans="1:10" x14ac:dyDescent="0.35">
      <c r="A399">
        <v>20</v>
      </c>
      <c r="B399" s="2">
        <v>46069</v>
      </c>
      <c r="C399" t="s">
        <v>21</v>
      </c>
      <c r="D399" t="s">
        <v>22</v>
      </c>
      <c r="E399" t="s">
        <v>11</v>
      </c>
      <c r="F399">
        <v>55</v>
      </c>
      <c r="G399" s="3">
        <v>4.88</v>
      </c>
      <c r="H399" s="3">
        <v>268.39999999999998</v>
      </c>
      <c r="I399" t="s">
        <v>44</v>
      </c>
      <c r="J399" t="e">
        <f t="shared" si="6"/>
        <v>#VALUE!</v>
      </c>
    </row>
    <row r="400" spans="1:10" x14ac:dyDescent="0.35">
      <c r="A400">
        <v>346</v>
      </c>
      <c r="B400" s="2">
        <v>46069</v>
      </c>
      <c r="C400" t="s">
        <v>16</v>
      </c>
      <c r="D400" t="s">
        <v>17</v>
      </c>
      <c r="E400" t="s">
        <v>15</v>
      </c>
      <c r="F400">
        <v>57</v>
      </c>
      <c r="G400" s="3">
        <v>2.23</v>
      </c>
      <c r="H400" s="3">
        <v>127.11</v>
      </c>
      <c r="I400" t="s">
        <v>44</v>
      </c>
      <c r="J400" t="e">
        <f t="shared" si="6"/>
        <v>#VALUE!</v>
      </c>
    </row>
    <row r="401" spans="1:10" x14ac:dyDescent="0.35">
      <c r="A401">
        <v>304</v>
      </c>
      <c r="B401" s="2">
        <v>46070</v>
      </c>
      <c r="C401" t="s">
        <v>28</v>
      </c>
      <c r="D401" t="s">
        <v>20</v>
      </c>
      <c r="E401" t="s">
        <v>15</v>
      </c>
      <c r="F401">
        <v>53</v>
      </c>
      <c r="G401" s="3">
        <v>2.68</v>
      </c>
      <c r="H401" s="3">
        <v>142.04</v>
      </c>
      <c r="I401" t="s">
        <v>44</v>
      </c>
      <c r="J401" t="e">
        <f t="shared" si="6"/>
        <v>#VALUE!</v>
      </c>
    </row>
    <row r="402" spans="1:10" x14ac:dyDescent="0.35">
      <c r="A402">
        <v>374</v>
      </c>
      <c r="B402" s="2">
        <v>46070</v>
      </c>
      <c r="C402" t="s">
        <v>29</v>
      </c>
      <c r="D402" t="s">
        <v>22</v>
      </c>
      <c r="E402" t="s">
        <v>15</v>
      </c>
      <c r="F402">
        <v>51</v>
      </c>
      <c r="G402" s="3">
        <v>1.5</v>
      </c>
      <c r="H402" s="3">
        <v>76.5</v>
      </c>
      <c r="I402" t="s">
        <v>44</v>
      </c>
      <c r="J402" t="e">
        <f t="shared" si="6"/>
        <v>#VALUE!</v>
      </c>
    </row>
    <row r="403" spans="1:10" x14ac:dyDescent="0.35">
      <c r="A403">
        <v>24</v>
      </c>
      <c r="B403" s="2">
        <v>46071</v>
      </c>
      <c r="C403" t="s">
        <v>28</v>
      </c>
      <c r="D403" t="s">
        <v>20</v>
      </c>
      <c r="E403" t="s">
        <v>15</v>
      </c>
      <c r="F403">
        <v>31</v>
      </c>
      <c r="G403" s="3">
        <v>2.54</v>
      </c>
      <c r="H403" s="3">
        <v>78.739999999999995</v>
      </c>
      <c r="I403" t="s">
        <v>44</v>
      </c>
      <c r="J403" t="e">
        <f t="shared" si="6"/>
        <v>#VALUE!</v>
      </c>
    </row>
    <row r="404" spans="1:10" x14ac:dyDescent="0.35">
      <c r="A404">
        <v>49</v>
      </c>
      <c r="B404" s="2">
        <v>46071</v>
      </c>
      <c r="C404" t="s">
        <v>26</v>
      </c>
      <c r="D404" t="s">
        <v>27</v>
      </c>
      <c r="E404" t="s">
        <v>15</v>
      </c>
      <c r="F404">
        <v>63</v>
      </c>
      <c r="G404" s="3">
        <v>2.69</v>
      </c>
      <c r="H404" s="3">
        <v>169.47</v>
      </c>
      <c r="I404" t="s">
        <v>44</v>
      </c>
      <c r="J404" t="e">
        <f t="shared" si="6"/>
        <v>#VALUE!</v>
      </c>
    </row>
    <row r="405" spans="1:10" x14ac:dyDescent="0.35">
      <c r="A405">
        <v>85</v>
      </c>
      <c r="B405" s="2">
        <v>46071</v>
      </c>
      <c r="C405" t="s">
        <v>32</v>
      </c>
      <c r="D405" t="s">
        <v>20</v>
      </c>
      <c r="E405" t="s">
        <v>11</v>
      </c>
      <c r="F405">
        <v>50</v>
      </c>
      <c r="G405" s="3">
        <v>3.44</v>
      </c>
      <c r="H405" s="3">
        <v>172</v>
      </c>
      <c r="I405" t="s">
        <v>44</v>
      </c>
      <c r="J405" t="e">
        <f t="shared" si="6"/>
        <v>#VALUE!</v>
      </c>
    </row>
    <row r="406" spans="1:10" x14ac:dyDescent="0.35">
      <c r="A406">
        <v>576</v>
      </c>
      <c r="B406" s="2">
        <v>46071</v>
      </c>
      <c r="C406" t="s">
        <v>33</v>
      </c>
      <c r="D406" t="s">
        <v>20</v>
      </c>
      <c r="E406" t="s">
        <v>11</v>
      </c>
      <c r="F406">
        <v>45</v>
      </c>
      <c r="G406" s="3">
        <v>5.37</v>
      </c>
      <c r="H406" s="3">
        <v>241.65</v>
      </c>
      <c r="I406" t="s">
        <v>44</v>
      </c>
      <c r="J406" t="e">
        <f t="shared" si="6"/>
        <v>#VALUE!</v>
      </c>
    </row>
    <row r="407" spans="1:10" x14ac:dyDescent="0.35">
      <c r="A407">
        <v>555</v>
      </c>
      <c r="B407" s="2">
        <v>46073</v>
      </c>
      <c r="C407" t="s">
        <v>19</v>
      </c>
      <c r="D407" t="s">
        <v>20</v>
      </c>
      <c r="E407" t="s">
        <v>15</v>
      </c>
      <c r="F407">
        <v>43</v>
      </c>
      <c r="G407" s="3">
        <v>3.11</v>
      </c>
      <c r="H407" s="3">
        <v>133.72999999999999</v>
      </c>
      <c r="I407" t="s">
        <v>44</v>
      </c>
      <c r="J407" t="e">
        <f t="shared" si="6"/>
        <v>#VALUE!</v>
      </c>
    </row>
    <row r="408" spans="1:10" x14ac:dyDescent="0.35">
      <c r="A408">
        <v>66</v>
      </c>
      <c r="B408" s="2">
        <v>46075</v>
      </c>
      <c r="C408" t="s">
        <v>26</v>
      </c>
      <c r="D408" t="s">
        <v>27</v>
      </c>
      <c r="E408" t="s">
        <v>15</v>
      </c>
      <c r="F408">
        <v>51</v>
      </c>
      <c r="G408" s="3">
        <v>2.61</v>
      </c>
      <c r="H408" s="3">
        <v>133.11000000000001</v>
      </c>
      <c r="I408" t="s">
        <v>44</v>
      </c>
      <c r="J408" t="e">
        <f t="shared" si="6"/>
        <v>#VALUE!</v>
      </c>
    </row>
    <row r="409" spans="1:10" x14ac:dyDescent="0.35">
      <c r="A409">
        <v>240</v>
      </c>
      <c r="B409" s="2">
        <v>46075</v>
      </c>
      <c r="C409" t="s">
        <v>9</v>
      </c>
      <c r="D409" t="s">
        <v>10</v>
      </c>
      <c r="E409" t="s">
        <v>11</v>
      </c>
      <c r="F409">
        <v>24</v>
      </c>
      <c r="G409" s="3">
        <v>12.64</v>
      </c>
      <c r="H409" s="3">
        <v>303.36</v>
      </c>
      <c r="I409" t="s">
        <v>44</v>
      </c>
      <c r="J409" t="e">
        <f t="shared" si="6"/>
        <v>#VALUE!</v>
      </c>
    </row>
    <row r="410" spans="1:10" x14ac:dyDescent="0.35">
      <c r="A410">
        <v>132</v>
      </c>
      <c r="B410" s="2">
        <v>46076</v>
      </c>
      <c r="C410" t="s">
        <v>21</v>
      </c>
      <c r="D410" t="s">
        <v>22</v>
      </c>
      <c r="E410" t="s">
        <v>11</v>
      </c>
      <c r="F410">
        <v>27</v>
      </c>
      <c r="G410" s="3">
        <v>4.82</v>
      </c>
      <c r="H410" s="3">
        <v>130.13999999999999</v>
      </c>
      <c r="I410" t="s">
        <v>44</v>
      </c>
      <c r="J410" t="e">
        <f t="shared" si="6"/>
        <v>#VALUE!</v>
      </c>
    </row>
    <row r="411" spans="1:10" x14ac:dyDescent="0.35">
      <c r="A411">
        <v>439</v>
      </c>
      <c r="B411" s="2">
        <v>46076</v>
      </c>
      <c r="C411" t="s">
        <v>21</v>
      </c>
      <c r="D411" t="s">
        <v>22</v>
      </c>
      <c r="E411" t="s">
        <v>11</v>
      </c>
      <c r="F411">
        <v>81</v>
      </c>
      <c r="G411" s="3">
        <v>4.8600000000000003</v>
      </c>
      <c r="H411" s="3">
        <v>393.66</v>
      </c>
      <c r="I411" t="s">
        <v>44</v>
      </c>
      <c r="J411" t="e">
        <f t="shared" si="6"/>
        <v>#VALUE!</v>
      </c>
    </row>
    <row r="412" spans="1:10" x14ac:dyDescent="0.35">
      <c r="A412">
        <v>32</v>
      </c>
      <c r="B412" s="2">
        <v>46078</v>
      </c>
      <c r="C412" t="s">
        <v>18</v>
      </c>
      <c r="D412" t="s">
        <v>10</v>
      </c>
      <c r="E412" t="s">
        <v>15</v>
      </c>
      <c r="F412">
        <v>29</v>
      </c>
      <c r="G412" s="3">
        <v>5.95</v>
      </c>
      <c r="H412" s="3">
        <v>172.55</v>
      </c>
      <c r="I412" t="s">
        <v>44</v>
      </c>
      <c r="J412" t="e">
        <f t="shared" si="6"/>
        <v>#VALUE!</v>
      </c>
    </row>
    <row r="413" spans="1:10" x14ac:dyDescent="0.35">
      <c r="A413">
        <v>123</v>
      </c>
      <c r="B413" s="2">
        <v>46078</v>
      </c>
      <c r="C413" t="s">
        <v>32</v>
      </c>
      <c r="D413" t="s">
        <v>20</v>
      </c>
      <c r="E413" t="s">
        <v>11</v>
      </c>
      <c r="F413">
        <v>25</v>
      </c>
      <c r="G413" s="3">
        <v>3.18</v>
      </c>
      <c r="H413" s="3">
        <v>79.5</v>
      </c>
      <c r="I413" t="s">
        <v>44</v>
      </c>
      <c r="J413" t="e">
        <f t="shared" si="6"/>
        <v>#VALUE!</v>
      </c>
    </row>
    <row r="414" spans="1:10" x14ac:dyDescent="0.35">
      <c r="A414">
        <v>231</v>
      </c>
      <c r="B414" s="2">
        <v>46079</v>
      </c>
      <c r="C414" t="s">
        <v>21</v>
      </c>
      <c r="D414" t="s">
        <v>22</v>
      </c>
      <c r="E414" t="s">
        <v>11</v>
      </c>
      <c r="F414">
        <v>48</v>
      </c>
      <c r="G414" s="3">
        <v>5.33</v>
      </c>
      <c r="H414" s="3">
        <v>255.84</v>
      </c>
      <c r="I414" t="s">
        <v>44</v>
      </c>
      <c r="J414" t="e">
        <f t="shared" si="6"/>
        <v>#VALUE!</v>
      </c>
    </row>
    <row r="415" spans="1:10" x14ac:dyDescent="0.35">
      <c r="A415">
        <v>6</v>
      </c>
      <c r="B415" s="2">
        <v>46082</v>
      </c>
      <c r="C415" t="s">
        <v>18</v>
      </c>
      <c r="D415" t="s">
        <v>10</v>
      </c>
      <c r="E415" t="s">
        <v>15</v>
      </c>
      <c r="F415">
        <v>41</v>
      </c>
      <c r="G415" s="3">
        <v>6.23</v>
      </c>
      <c r="H415" s="3">
        <v>255.43</v>
      </c>
      <c r="I415" t="s">
        <v>45</v>
      </c>
      <c r="J415" t="e">
        <f t="shared" si="6"/>
        <v>#VALUE!</v>
      </c>
    </row>
    <row r="416" spans="1:10" x14ac:dyDescent="0.35">
      <c r="A416">
        <v>174</v>
      </c>
      <c r="B416" s="2">
        <v>46082</v>
      </c>
      <c r="C416" t="s">
        <v>26</v>
      </c>
      <c r="D416" t="s">
        <v>27</v>
      </c>
      <c r="E416" t="s">
        <v>15</v>
      </c>
      <c r="F416">
        <v>78</v>
      </c>
      <c r="G416" s="3">
        <v>2.5299999999999998</v>
      </c>
      <c r="H416" s="3">
        <v>197.34</v>
      </c>
      <c r="I416" t="s">
        <v>45</v>
      </c>
      <c r="J416" t="e">
        <f t="shared" si="6"/>
        <v>#VALUE!</v>
      </c>
    </row>
    <row r="417" spans="1:10" x14ac:dyDescent="0.35">
      <c r="A417">
        <v>443</v>
      </c>
      <c r="B417" s="2">
        <v>46084</v>
      </c>
      <c r="C417" t="s">
        <v>9</v>
      </c>
      <c r="D417" t="s">
        <v>10</v>
      </c>
      <c r="E417" t="s">
        <v>11</v>
      </c>
      <c r="F417">
        <v>45</v>
      </c>
      <c r="G417" s="3">
        <v>12.91</v>
      </c>
      <c r="H417" s="3">
        <v>580.95000000000005</v>
      </c>
      <c r="I417" t="s">
        <v>45</v>
      </c>
      <c r="J417" t="e">
        <f t="shared" si="6"/>
        <v>#VALUE!</v>
      </c>
    </row>
    <row r="418" spans="1:10" x14ac:dyDescent="0.35">
      <c r="A418">
        <v>221</v>
      </c>
      <c r="B418" s="2">
        <v>46085</v>
      </c>
      <c r="C418" t="s">
        <v>21</v>
      </c>
      <c r="D418" t="s">
        <v>22</v>
      </c>
      <c r="E418" t="s">
        <v>11</v>
      </c>
      <c r="F418">
        <v>35</v>
      </c>
      <c r="G418" s="3">
        <v>5.0599999999999996</v>
      </c>
      <c r="H418" s="3">
        <v>177.1</v>
      </c>
      <c r="I418" t="s">
        <v>45</v>
      </c>
      <c r="J418" t="e">
        <f t="shared" si="6"/>
        <v>#VALUE!</v>
      </c>
    </row>
    <row r="419" spans="1:10" x14ac:dyDescent="0.35">
      <c r="A419">
        <v>455</v>
      </c>
      <c r="B419" s="2">
        <v>46086</v>
      </c>
      <c r="C419" t="s">
        <v>19</v>
      </c>
      <c r="D419" t="s">
        <v>20</v>
      </c>
      <c r="E419" t="s">
        <v>15</v>
      </c>
      <c r="F419">
        <v>47</v>
      </c>
      <c r="G419" s="3">
        <v>3.18</v>
      </c>
      <c r="H419" s="3">
        <v>149.46</v>
      </c>
      <c r="I419" t="s">
        <v>45</v>
      </c>
      <c r="J419" t="e">
        <f t="shared" si="6"/>
        <v>#VALUE!</v>
      </c>
    </row>
    <row r="420" spans="1:10" x14ac:dyDescent="0.35">
      <c r="A420">
        <v>80</v>
      </c>
      <c r="B420" s="2">
        <v>46087</v>
      </c>
      <c r="C420" t="s">
        <v>19</v>
      </c>
      <c r="D420" t="s">
        <v>20</v>
      </c>
      <c r="E420" t="s">
        <v>15</v>
      </c>
      <c r="F420">
        <v>65</v>
      </c>
      <c r="G420" s="3">
        <v>3.14</v>
      </c>
      <c r="H420" s="3">
        <v>204.1</v>
      </c>
      <c r="I420" t="s">
        <v>45</v>
      </c>
      <c r="J420" t="e">
        <f t="shared" si="6"/>
        <v>#VALUE!</v>
      </c>
    </row>
    <row r="421" spans="1:10" x14ac:dyDescent="0.35">
      <c r="A421">
        <v>526</v>
      </c>
      <c r="B421" s="2">
        <v>46087</v>
      </c>
      <c r="C421" t="s">
        <v>16</v>
      </c>
      <c r="D421" t="s">
        <v>17</v>
      </c>
      <c r="E421" t="s">
        <v>15</v>
      </c>
      <c r="F421">
        <v>79</v>
      </c>
      <c r="G421" s="3">
        <v>2.34</v>
      </c>
      <c r="H421" s="3">
        <v>184.86</v>
      </c>
      <c r="I421" t="s">
        <v>45</v>
      </c>
      <c r="J421" t="e">
        <f t="shared" si="6"/>
        <v>#VALUE!</v>
      </c>
    </row>
    <row r="422" spans="1:10" x14ac:dyDescent="0.35">
      <c r="A422">
        <v>519</v>
      </c>
      <c r="B422" s="2">
        <v>46088</v>
      </c>
      <c r="C422" t="s">
        <v>33</v>
      </c>
      <c r="D422" t="s">
        <v>20</v>
      </c>
      <c r="E422" t="s">
        <v>11</v>
      </c>
      <c r="F422">
        <v>36</v>
      </c>
      <c r="G422" s="3">
        <v>5.57</v>
      </c>
      <c r="H422" s="3">
        <v>200.52</v>
      </c>
      <c r="I422" t="s">
        <v>45</v>
      </c>
      <c r="J422" t="e">
        <f t="shared" si="6"/>
        <v>#VALUE!</v>
      </c>
    </row>
    <row r="423" spans="1:10" x14ac:dyDescent="0.35">
      <c r="A423">
        <v>408</v>
      </c>
      <c r="B423" s="2">
        <v>46089</v>
      </c>
      <c r="C423" t="s">
        <v>37</v>
      </c>
      <c r="D423" t="s">
        <v>27</v>
      </c>
      <c r="E423" t="s">
        <v>11</v>
      </c>
      <c r="F423">
        <v>42</v>
      </c>
      <c r="G423" s="3">
        <v>8.57</v>
      </c>
      <c r="H423" s="3">
        <v>359.94</v>
      </c>
      <c r="I423" t="s">
        <v>45</v>
      </c>
      <c r="J423" t="e">
        <f t="shared" si="6"/>
        <v>#VALUE!</v>
      </c>
    </row>
    <row r="424" spans="1:10" x14ac:dyDescent="0.35">
      <c r="A424">
        <v>363</v>
      </c>
      <c r="B424" s="2">
        <v>46090</v>
      </c>
      <c r="C424" t="s">
        <v>21</v>
      </c>
      <c r="D424" t="s">
        <v>22</v>
      </c>
      <c r="E424" t="s">
        <v>11</v>
      </c>
      <c r="F424">
        <v>17</v>
      </c>
      <c r="G424" s="3">
        <v>5.16</v>
      </c>
      <c r="H424" s="3">
        <v>87.72</v>
      </c>
      <c r="I424" t="s">
        <v>45</v>
      </c>
      <c r="J424" t="e">
        <f t="shared" si="6"/>
        <v>#VALUE!</v>
      </c>
    </row>
    <row r="425" spans="1:10" x14ac:dyDescent="0.35">
      <c r="A425">
        <v>77</v>
      </c>
      <c r="B425" s="2">
        <v>46091</v>
      </c>
      <c r="C425" t="s">
        <v>16</v>
      </c>
      <c r="D425" t="s">
        <v>17</v>
      </c>
      <c r="E425" t="s">
        <v>15</v>
      </c>
      <c r="F425">
        <v>77</v>
      </c>
      <c r="G425" s="3">
        <v>2.2000000000000002</v>
      </c>
      <c r="H425" s="3">
        <v>169.4</v>
      </c>
      <c r="I425" t="s">
        <v>45</v>
      </c>
      <c r="J425" t="e">
        <f t="shared" si="6"/>
        <v>#VALUE!</v>
      </c>
    </row>
    <row r="426" spans="1:10" x14ac:dyDescent="0.35">
      <c r="A426">
        <v>107</v>
      </c>
      <c r="B426" s="2">
        <v>46091</v>
      </c>
      <c r="C426" t="s">
        <v>26</v>
      </c>
      <c r="D426" t="s">
        <v>27</v>
      </c>
      <c r="E426" t="s">
        <v>15</v>
      </c>
      <c r="F426">
        <v>68</v>
      </c>
      <c r="G426" s="3">
        <v>2.5099999999999998</v>
      </c>
      <c r="H426" s="3">
        <v>170.68</v>
      </c>
      <c r="I426" t="s">
        <v>45</v>
      </c>
      <c r="J426" t="e">
        <f t="shared" si="6"/>
        <v>#VALUE!</v>
      </c>
    </row>
    <row r="427" spans="1:10" x14ac:dyDescent="0.35">
      <c r="A427">
        <v>333</v>
      </c>
      <c r="B427" s="2">
        <v>46092</v>
      </c>
      <c r="C427" t="s">
        <v>13</v>
      </c>
      <c r="D427" t="s">
        <v>14</v>
      </c>
      <c r="E427" t="s">
        <v>15</v>
      </c>
      <c r="F427">
        <v>85</v>
      </c>
      <c r="G427" s="3">
        <v>1.81</v>
      </c>
      <c r="H427" s="3">
        <v>153.85</v>
      </c>
      <c r="I427" t="s">
        <v>45</v>
      </c>
      <c r="J427" t="e">
        <f t="shared" si="6"/>
        <v>#VALUE!</v>
      </c>
    </row>
    <row r="428" spans="1:10" x14ac:dyDescent="0.35">
      <c r="A428">
        <v>435</v>
      </c>
      <c r="B428" s="2">
        <v>46092</v>
      </c>
      <c r="C428" t="s">
        <v>9</v>
      </c>
      <c r="D428" t="s">
        <v>10</v>
      </c>
      <c r="E428" t="s">
        <v>11</v>
      </c>
      <c r="F428">
        <v>41</v>
      </c>
      <c r="G428" s="3">
        <v>11.56</v>
      </c>
      <c r="H428" s="3">
        <v>473.96</v>
      </c>
      <c r="I428" t="s">
        <v>45</v>
      </c>
      <c r="J428" t="e">
        <f t="shared" si="6"/>
        <v>#VALUE!</v>
      </c>
    </row>
    <row r="429" spans="1:10" x14ac:dyDescent="0.35">
      <c r="A429">
        <v>471</v>
      </c>
      <c r="B429" s="2">
        <v>46093</v>
      </c>
      <c r="C429" t="s">
        <v>13</v>
      </c>
      <c r="D429" t="s">
        <v>14</v>
      </c>
      <c r="E429" t="s">
        <v>15</v>
      </c>
      <c r="F429">
        <v>53</v>
      </c>
      <c r="G429" s="3">
        <v>1.88</v>
      </c>
      <c r="H429" s="3">
        <v>99.64</v>
      </c>
      <c r="I429" t="s">
        <v>45</v>
      </c>
      <c r="J429" t="e">
        <f t="shared" si="6"/>
        <v>#VALUE!</v>
      </c>
    </row>
    <row r="430" spans="1:10" x14ac:dyDescent="0.35">
      <c r="A430">
        <v>593</v>
      </c>
      <c r="B430" s="2">
        <v>46093</v>
      </c>
      <c r="C430" t="s">
        <v>28</v>
      </c>
      <c r="D430" t="s">
        <v>20</v>
      </c>
      <c r="E430" t="s">
        <v>15</v>
      </c>
      <c r="F430">
        <v>46</v>
      </c>
      <c r="G430" s="3">
        <v>2.54</v>
      </c>
      <c r="H430" s="3">
        <v>116.84</v>
      </c>
      <c r="I430" t="s">
        <v>45</v>
      </c>
      <c r="J430" t="e">
        <f t="shared" si="6"/>
        <v>#VALUE!</v>
      </c>
    </row>
    <row r="431" spans="1:10" x14ac:dyDescent="0.35">
      <c r="A431">
        <v>390</v>
      </c>
      <c r="B431" s="2">
        <v>46094</v>
      </c>
      <c r="C431" t="s">
        <v>13</v>
      </c>
      <c r="D431" t="s">
        <v>14</v>
      </c>
      <c r="E431" t="s">
        <v>15</v>
      </c>
      <c r="F431">
        <v>59</v>
      </c>
      <c r="G431" s="3">
        <v>1.84</v>
      </c>
      <c r="H431" s="3">
        <v>108.56</v>
      </c>
      <c r="I431" t="s">
        <v>45</v>
      </c>
      <c r="J431" t="e">
        <f t="shared" si="6"/>
        <v>#VALUE!</v>
      </c>
    </row>
    <row r="432" spans="1:10" x14ac:dyDescent="0.35">
      <c r="A432">
        <v>72</v>
      </c>
      <c r="B432" s="2">
        <v>46095</v>
      </c>
      <c r="C432" t="s">
        <v>25</v>
      </c>
      <c r="D432" t="s">
        <v>17</v>
      </c>
      <c r="E432" t="s">
        <v>15</v>
      </c>
      <c r="F432">
        <v>29</v>
      </c>
      <c r="G432" s="3">
        <v>2.06</v>
      </c>
      <c r="H432" s="3">
        <v>59.74</v>
      </c>
      <c r="I432" t="s">
        <v>45</v>
      </c>
      <c r="J432" t="e">
        <f t="shared" si="6"/>
        <v>#VALUE!</v>
      </c>
    </row>
    <row r="433" spans="1:10" x14ac:dyDescent="0.35">
      <c r="A433">
        <v>171</v>
      </c>
      <c r="B433" s="2">
        <v>46095</v>
      </c>
      <c r="C433" t="s">
        <v>13</v>
      </c>
      <c r="D433" t="s">
        <v>14</v>
      </c>
      <c r="E433" t="s">
        <v>15</v>
      </c>
      <c r="F433">
        <v>47</v>
      </c>
      <c r="G433" s="3">
        <v>1.91</v>
      </c>
      <c r="H433" s="3">
        <v>89.77</v>
      </c>
      <c r="I433" t="s">
        <v>45</v>
      </c>
      <c r="J433" t="e">
        <f t="shared" si="6"/>
        <v>#VALUE!</v>
      </c>
    </row>
    <row r="434" spans="1:10" x14ac:dyDescent="0.35">
      <c r="A434">
        <v>257</v>
      </c>
      <c r="B434" s="2">
        <v>46095</v>
      </c>
      <c r="C434" t="s">
        <v>33</v>
      </c>
      <c r="D434" t="s">
        <v>20</v>
      </c>
      <c r="E434" t="s">
        <v>11</v>
      </c>
      <c r="F434">
        <v>22</v>
      </c>
      <c r="G434" s="3">
        <v>5.84</v>
      </c>
      <c r="H434" s="3">
        <v>128.47999999999999</v>
      </c>
      <c r="I434" t="s">
        <v>45</v>
      </c>
      <c r="J434" t="e">
        <f t="shared" si="6"/>
        <v>#VALUE!</v>
      </c>
    </row>
    <row r="435" spans="1:10" x14ac:dyDescent="0.35">
      <c r="A435">
        <v>348</v>
      </c>
      <c r="B435" s="2">
        <v>46096</v>
      </c>
      <c r="C435" t="s">
        <v>21</v>
      </c>
      <c r="D435" t="s">
        <v>22</v>
      </c>
      <c r="E435" t="s">
        <v>11</v>
      </c>
      <c r="F435">
        <v>23</v>
      </c>
      <c r="G435" s="3">
        <v>5.29</v>
      </c>
      <c r="H435" s="3">
        <v>121.67</v>
      </c>
      <c r="I435" t="s">
        <v>45</v>
      </c>
      <c r="J435" t="e">
        <f t="shared" si="6"/>
        <v>#VALUE!</v>
      </c>
    </row>
    <row r="436" spans="1:10" x14ac:dyDescent="0.35">
      <c r="A436">
        <v>340</v>
      </c>
      <c r="B436" s="2">
        <v>46097</v>
      </c>
      <c r="C436" t="s">
        <v>28</v>
      </c>
      <c r="D436" t="s">
        <v>20</v>
      </c>
      <c r="E436" t="s">
        <v>15</v>
      </c>
      <c r="F436">
        <v>93</v>
      </c>
      <c r="G436" s="3">
        <v>2.5</v>
      </c>
      <c r="H436" s="3">
        <v>232.5</v>
      </c>
      <c r="I436" t="s">
        <v>45</v>
      </c>
      <c r="J436" t="e">
        <f t="shared" si="6"/>
        <v>#VALUE!</v>
      </c>
    </row>
    <row r="437" spans="1:10" x14ac:dyDescent="0.35">
      <c r="A437">
        <v>114</v>
      </c>
      <c r="B437" s="2">
        <v>46098</v>
      </c>
      <c r="C437" t="s">
        <v>25</v>
      </c>
      <c r="D437" t="s">
        <v>17</v>
      </c>
      <c r="E437" t="s">
        <v>15</v>
      </c>
      <c r="F437">
        <v>40</v>
      </c>
      <c r="G437" s="3">
        <v>2.06</v>
      </c>
      <c r="H437" s="3">
        <v>82.4</v>
      </c>
      <c r="I437" t="s">
        <v>45</v>
      </c>
      <c r="J437" t="e">
        <f t="shared" si="6"/>
        <v>#VALUE!</v>
      </c>
    </row>
    <row r="438" spans="1:10" x14ac:dyDescent="0.35">
      <c r="A438">
        <v>148</v>
      </c>
      <c r="B438" s="2">
        <v>46099</v>
      </c>
      <c r="C438" t="s">
        <v>37</v>
      </c>
      <c r="D438" t="s">
        <v>27</v>
      </c>
      <c r="E438" t="s">
        <v>11</v>
      </c>
      <c r="F438">
        <v>67</v>
      </c>
      <c r="G438" s="3">
        <v>7.94</v>
      </c>
      <c r="H438" s="3">
        <v>531.98</v>
      </c>
      <c r="I438" t="s">
        <v>45</v>
      </c>
      <c r="J438" t="e">
        <f t="shared" si="6"/>
        <v>#VALUE!</v>
      </c>
    </row>
    <row r="439" spans="1:10" x14ac:dyDescent="0.35">
      <c r="A439">
        <v>380</v>
      </c>
      <c r="B439" s="2">
        <v>46099</v>
      </c>
      <c r="C439" t="s">
        <v>13</v>
      </c>
      <c r="D439" t="s">
        <v>14</v>
      </c>
      <c r="E439" t="s">
        <v>15</v>
      </c>
      <c r="F439">
        <v>76</v>
      </c>
      <c r="G439" s="3">
        <v>1.71</v>
      </c>
      <c r="H439" s="3">
        <v>129.96</v>
      </c>
      <c r="I439" t="s">
        <v>45</v>
      </c>
      <c r="J439" t="e">
        <f t="shared" si="6"/>
        <v>#VALUE!</v>
      </c>
    </row>
    <row r="440" spans="1:10" x14ac:dyDescent="0.35">
      <c r="A440">
        <v>61</v>
      </c>
      <c r="B440" s="2">
        <v>46100</v>
      </c>
      <c r="C440" t="s">
        <v>33</v>
      </c>
      <c r="D440" t="s">
        <v>20</v>
      </c>
      <c r="E440" t="s">
        <v>11</v>
      </c>
      <c r="F440">
        <v>74</v>
      </c>
      <c r="G440" s="3">
        <v>5.32</v>
      </c>
      <c r="H440" s="3">
        <v>393.68</v>
      </c>
      <c r="I440" t="s">
        <v>45</v>
      </c>
      <c r="J440" t="e">
        <f t="shared" si="6"/>
        <v>#VALUE!</v>
      </c>
    </row>
    <row r="441" spans="1:10" x14ac:dyDescent="0.35">
      <c r="A441">
        <v>9</v>
      </c>
      <c r="B441" s="2">
        <v>46102</v>
      </c>
      <c r="C441" t="s">
        <v>19</v>
      </c>
      <c r="D441" t="s">
        <v>20</v>
      </c>
      <c r="E441" t="s">
        <v>15</v>
      </c>
      <c r="F441">
        <v>33</v>
      </c>
      <c r="G441" s="3">
        <v>3.14</v>
      </c>
      <c r="H441" s="3">
        <v>103.62</v>
      </c>
      <c r="I441" t="s">
        <v>45</v>
      </c>
      <c r="J441" t="e">
        <f t="shared" si="6"/>
        <v>#VALUE!</v>
      </c>
    </row>
    <row r="442" spans="1:10" x14ac:dyDescent="0.35">
      <c r="A442">
        <v>60</v>
      </c>
      <c r="B442" s="2">
        <v>46102</v>
      </c>
      <c r="C442" t="s">
        <v>37</v>
      </c>
      <c r="D442" t="s">
        <v>27</v>
      </c>
      <c r="E442" t="s">
        <v>11</v>
      </c>
      <c r="F442">
        <v>64</v>
      </c>
      <c r="G442" s="3">
        <v>8.08</v>
      </c>
      <c r="H442" s="3">
        <v>517.12</v>
      </c>
      <c r="I442" t="s">
        <v>45</v>
      </c>
      <c r="J442" t="e">
        <f t="shared" si="6"/>
        <v>#VALUE!</v>
      </c>
    </row>
    <row r="443" spans="1:10" x14ac:dyDescent="0.35">
      <c r="A443">
        <v>448</v>
      </c>
      <c r="B443" s="2">
        <v>46103</v>
      </c>
      <c r="C443" t="s">
        <v>26</v>
      </c>
      <c r="D443" t="s">
        <v>27</v>
      </c>
      <c r="E443" t="s">
        <v>15</v>
      </c>
      <c r="F443">
        <v>48</v>
      </c>
      <c r="G443" s="3">
        <v>2.41</v>
      </c>
      <c r="H443" s="3">
        <v>115.68</v>
      </c>
      <c r="I443" t="s">
        <v>45</v>
      </c>
      <c r="J443" t="e">
        <f t="shared" si="6"/>
        <v>#VALUE!</v>
      </c>
    </row>
    <row r="444" spans="1:10" x14ac:dyDescent="0.35">
      <c r="A444">
        <v>485</v>
      </c>
      <c r="B444" s="2">
        <v>46103</v>
      </c>
      <c r="C444" t="s">
        <v>13</v>
      </c>
      <c r="D444" t="s">
        <v>14</v>
      </c>
      <c r="E444" t="s">
        <v>15</v>
      </c>
      <c r="F444">
        <v>57</v>
      </c>
      <c r="G444" s="3">
        <v>1.92</v>
      </c>
      <c r="H444" s="3">
        <v>109.44</v>
      </c>
      <c r="I444" t="s">
        <v>45</v>
      </c>
      <c r="J444" t="e">
        <f t="shared" si="6"/>
        <v>#VALUE!</v>
      </c>
    </row>
    <row r="445" spans="1:10" x14ac:dyDescent="0.35">
      <c r="A445">
        <v>536</v>
      </c>
      <c r="B445" s="2">
        <v>46103</v>
      </c>
      <c r="C445" t="s">
        <v>32</v>
      </c>
      <c r="D445" t="s">
        <v>20</v>
      </c>
      <c r="E445" t="s">
        <v>11</v>
      </c>
      <c r="F445">
        <v>64</v>
      </c>
      <c r="G445" s="3">
        <v>3.21</v>
      </c>
      <c r="H445" s="3">
        <v>205.44</v>
      </c>
      <c r="I445" t="s">
        <v>45</v>
      </c>
      <c r="J445" t="e">
        <f t="shared" si="6"/>
        <v>#VALUE!</v>
      </c>
    </row>
    <row r="446" spans="1:10" x14ac:dyDescent="0.35">
      <c r="A446">
        <v>223</v>
      </c>
      <c r="B446" s="2">
        <v>46104</v>
      </c>
      <c r="C446" t="s">
        <v>21</v>
      </c>
      <c r="D446" t="s">
        <v>22</v>
      </c>
      <c r="E446" t="s">
        <v>11</v>
      </c>
      <c r="F446">
        <v>11</v>
      </c>
      <c r="G446" s="3">
        <v>5.3</v>
      </c>
      <c r="H446" s="3">
        <v>58.3</v>
      </c>
      <c r="I446" t="s">
        <v>45</v>
      </c>
      <c r="J446" t="e">
        <f t="shared" si="6"/>
        <v>#VALUE!</v>
      </c>
    </row>
    <row r="447" spans="1:10" x14ac:dyDescent="0.35">
      <c r="A447">
        <v>360</v>
      </c>
      <c r="B447" s="2">
        <v>46104</v>
      </c>
      <c r="C447" t="s">
        <v>29</v>
      </c>
      <c r="D447" t="s">
        <v>22</v>
      </c>
      <c r="E447" t="s">
        <v>15</v>
      </c>
      <c r="F447">
        <v>62</v>
      </c>
      <c r="G447" s="3">
        <v>1.57</v>
      </c>
      <c r="H447" s="3">
        <v>97.34</v>
      </c>
      <c r="I447" t="s">
        <v>45</v>
      </c>
      <c r="J447" t="e">
        <f t="shared" si="6"/>
        <v>#VALUE!</v>
      </c>
    </row>
    <row r="448" spans="1:10" x14ac:dyDescent="0.35">
      <c r="A448">
        <v>495</v>
      </c>
      <c r="B448" s="2">
        <v>46104</v>
      </c>
      <c r="C448" t="s">
        <v>23</v>
      </c>
      <c r="D448" t="s">
        <v>17</v>
      </c>
      <c r="E448" t="s">
        <v>11</v>
      </c>
      <c r="F448">
        <v>48</v>
      </c>
      <c r="G448" s="3">
        <v>6.38</v>
      </c>
      <c r="H448" s="3">
        <v>306.24</v>
      </c>
      <c r="I448" t="s">
        <v>45</v>
      </c>
      <c r="J448" t="e">
        <f t="shared" si="6"/>
        <v>#VALUE!</v>
      </c>
    </row>
    <row r="449" spans="1:10" x14ac:dyDescent="0.35">
      <c r="A449">
        <v>437</v>
      </c>
      <c r="B449" s="2">
        <v>46105</v>
      </c>
      <c r="C449" t="s">
        <v>21</v>
      </c>
      <c r="D449" t="s">
        <v>22</v>
      </c>
      <c r="E449" t="s">
        <v>11</v>
      </c>
      <c r="F449">
        <v>61</v>
      </c>
      <c r="G449" s="3">
        <v>5.13</v>
      </c>
      <c r="H449" s="3">
        <v>312.93</v>
      </c>
      <c r="I449" t="s">
        <v>45</v>
      </c>
      <c r="J449" t="e">
        <f t="shared" si="6"/>
        <v>#VALUE!</v>
      </c>
    </row>
    <row r="450" spans="1:10" x14ac:dyDescent="0.35">
      <c r="A450">
        <v>470</v>
      </c>
      <c r="B450" s="2">
        <v>46106</v>
      </c>
      <c r="C450" t="s">
        <v>13</v>
      </c>
      <c r="D450" t="s">
        <v>14</v>
      </c>
      <c r="E450" t="s">
        <v>15</v>
      </c>
      <c r="F450">
        <v>57</v>
      </c>
      <c r="G450" s="3">
        <v>1.89</v>
      </c>
      <c r="H450" s="3">
        <v>107.73</v>
      </c>
      <c r="I450" t="s">
        <v>45</v>
      </c>
      <c r="J450" t="e">
        <f t="shared" ref="J450:J513" si="7">(I451-I450)/I450</f>
        <v>#VALUE!</v>
      </c>
    </row>
    <row r="451" spans="1:10" x14ac:dyDescent="0.35">
      <c r="A451">
        <v>489</v>
      </c>
      <c r="B451" s="2">
        <v>46106</v>
      </c>
      <c r="C451" t="s">
        <v>13</v>
      </c>
      <c r="D451" t="s">
        <v>14</v>
      </c>
      <c r="E451" t="s">
        <v>15</v>
      </c>
      <c r="F451">
        <v>67</v>
      </c>
      <c r="G451" s="3">
        <v>1.71</v>
      </c>
      <c r="H451" s="3">
        <v>114.57</v>
      </c>
      <c r="I451" t="s">
        <v>45</v>
      </c>
      <c r="J451" t="e">
        <f t="shared" si="7"/>
        <v>#VALUE!</v>
      </c>
    </row>
    <row r="452" spans="1:10" x14ac:dyDescent="0.35">
      <c r="A452">
        <v>384</v>
      </c>
      <c r="B452" s="2">
        <v>46107</v>
      </c>
      <c r="C452" t="s">
        <v>24</v>
      </c>
      <c r="D452" t="s">
        <v>10</v>
      </c>
      <c r="E452" t="s">
        <v>11</v>
      </c>
      <c r="F452">
        <v>25</v>
      </c>
      <c r="G452" s="3">
        <v>15.53</v>
      </c>
      <c r="H452" s="3">
        <v>388.25</v>
      </c>
      <c r="I452" t="s">
        <v>45</v>
      </c>
      <c r="J452" t="e">
        <f t="shared" si="7"/>
        <v>#VALUE!</v>
      </c>
    </row>
    <row r="453" spans="1:10" x14ac:dyDescent="0.35">
      <c r="A453">
        <v>391</v>
      </c>
      <c r="B453" s="2">
        <v>46107</v>
      </c>
      <c r="C453" t="s">
        <v>32</v>
      </c>
      <c r="D453" t="s">
        <v>20</v>
      </c>
      <c r="E453" t="s">
        <v>11</v>
      </c>
      <c r="F453">
        <v>34</v>
      </c>
      <c r="G453" s="3">
        <v>3.44</v>
      </c>
      <c r="H453" s="3">
        <v>116.96</v>
      </c>
      <c r="I453" t="s">
        <v>45</v>
      </c>
      <c r="J453" t="e">
        <f t="shared" si="7"/>
        <v>#VALUE!</v>
      </c>
    </row>
    <row r="454" spans="1:10" x14ac:dyDescent="0.35">
      <c r="A454">
        <v>445</v>
      </c>
      <c r="B454" s="2">
        <v>46107</v>
      </c>
      <c r="C454" t="s">
        <v>19</v>
      </c>
      <c r="D454" t="s">
        <v>20</v>
      </c>
      <c r="E454" t="s">
        <v>15</v>
      </c>
      <c r="F454">
        <v>51</v>
      </c>
      <c r="G454" s="3">
        <v>2.91</v>
      </c>
      <c r="H454" s="3">
        <v>148.41</v>
      </c>
      <c r="I454" t="s">
        <v>45</v>
      </c>
      <c r="J454" t="e">
        <f t="shared" si="7"/>
        <v>#VALUE!</v>
      </c>
    </row>
    <row r="455" spans="1:10" x14ac:dyDescent="0.35">
      <c r="A455">
        <v>543</v>
      </c>
      <c r="B455" s="2">
        <v>46107</v>
      </c>
      <c r="C455" t="s">
        <v>36</v>
      </c>
      <c r="D455" t="s">
        <v>14</v>
      </c>
      <c r="E455" t="s">
        <v>15</v>
      </c>
      <c r="F455">
        <v>39</v>
      </c>
      <c r="G455" s="3">
        <v>2.34</v>
      </c>
      <c r="H455" s="3">
        <v>91.26</v>
      </c>
      <c r="I455" t="s">
        <v>45</v>
      </c>
      <c r="J455" t="e">
        <f t="shared" si="7"/>
        <v>#VALUE!</v>
      </c>
    </row>
    <row r="456" spans="1:10" x14ac:dyDescent="0.35">
      <c r="A456">
        <v>402</v>
      </c>
      <c r="B456" s="2">
        <v>46111</v>
      </c>
      <c r="C456" t="s">
        <v>29</v>
      </c>
      <c r="D456" t="s">
        <v>22</v>
      </c>
      <c r="E456" t="s">
        <v>15</v>
      </c>
      <c r="F456">
        <v>47</v>
      </c>
      <c r="G456" s="3">
        <v>1.55</v>
      </c>
      <c r="H456" s="3">
        <v>72.849999999999994</v>
      </c>
      <c r="I456" t="s">
        <v>45</v>
      </c>
      <c r="J456" t="e">
        <f t="shared" si="7"/>
        <v>#VALUE!</v>
      </c>
    </row>
    <row r="457" spans="1:10" x14ac:dyDescent="0.35">
      <c r="A457">
        <v>95</v>
      </c>
      <c r="B457" s="2">
        <v>46113</v>
      </c>
      <c r="C457" t="s">
        <v>16</v>
      </c>
      <c r="D457" t="s">
        <v>17</v>
      </c>
      <c r="E457" t="s">
        <v>15</v>
      </c>
      <c r="F457">
        <v>70</v>
      </c>
      <c r="G457" s="3">
        <v>2.12</v>
      </c>
      <c r="H457" s="3">
        <v>148.4</v>
      </c>
      <c r="I457" t="s">
        <v>46</v>
      </c>
      <c r="J457" t="e">
        <f t="shared" si="7"/>
        <v>#VALUE!</v>
      </c>
    </row>
    <row r="458" spans="1:10" x14ac:dyDescent="0.35">
      <c r="A458">
        <v>319</v>
      </c>
      <c r="B458" s="2">
        <v>46113</v>
      </c>
      <c r="C458" t="s">
        <v>19</v>
      </c>
      <c r="D458" t="s">
        <v>20</v>
      </c>
      <c r="E458" t="s">
        <v>15</v>
      </c>
      <c r="F458">
        <v>63</v>
      </c>
      <c r="G458" s="3">
        <v>3.11</v>
      </c>
      <c r="H458" s="3">
        <v>195.93</v>
      </c>
      <c r="I458" t="s">
        <v>46</v>
      </c>
      <c r="J458" t="e">
        <f t="shared" si="7"/>
        <v>#VALUE!</v>
      </c>
    </row>
    <row r="459" spans="1:10" x14ac:dyDescent="0.35">
      <c r="A459">
        <v>354</v>
      </c>
      <c r="B459" s="2">
        <v>46114</v>
      </c>
      <c r="C459" t="s">
        <v>23</v>
      </c>
      <c r="D459" t="s">
        <v>17</v>
      </c>
      <c r="E459" t="s">
        <v>11</v>
      </c>
      <c r="F459">
        <v>28</v>
      </c>
      <c r="G459" s="3">
        <v>6.34</v>
      </c>
      <c r="H459" s="3">
        <v>177.52</v>
      </c>
      <c r="I459" t="s">
        <v>46</v>
      </c>
      <c r="J459" t="e">
        <f t="shared" si="7"/>
        <v>#VALUE!</v>
      </c>
    </row>
    <row r="460" spans="1:10" x14ac:dyDescent="0.35">
      <c r="A460">
        <v>432</v>
      </c>
      <c r="B460" s="2">
        <v>46115</v>
      </c>
      <c r="C460" t="s">
        <v>21</v>
      </c>
      <c r="D460" t="s">
        <v>22</v>
      </c>
      <c r="E460" t="s">
        <v>11</v>
      </c>
      <c r="F460">
        <v>71</v>
      </c>
      <c r="G460" s="3">
        <v>5.24</v>
      </c>
      <c r="H460" s="3">
        <v>372.04</v>
      </c>
      <c r="I460" t="s">
        <v>46</v>
      </c>
      <c r="J460" t="e">
        <f t="shared" si="7"/>
        <v>#VALUE!</v>
      </c>
    </row>
    <row r="461" spans="1:10" x14ac:dyDescent="0.35">
      <c r="A461">
        <v>83</v>
      </c>
      <c r="B461" s="2">
        <v>46117</v>
      </c>
      <c r="C461" t="s">
        <v>32</v>
      </c>
      <c r="D461" t="s">
        <v>20</v>
      </c>
      <c r="E461" t="s">
        <v>11</v>
      </c>
      <c r="F461">
        <v>45</v>
      </c>
      <c r="G461" s="3">
        <v>3.38</v>
      </c>
      <c r="H461" s="3">
        <v>152.1</v>
      </c>
      <c r="I461" t="s">
        <v>46</v>
      </c>
      <c r="J461" t="e">
        <f t="shared" si="7"/>
        <v>#VALUE!</v>
      </c>
    </row>
    <row r="462" spans="1:10" x14ac:dyDescent="0.35">
      <c r="A462">
        <v>345</v>
      </c>
      <c r="B462" s="2">
        <v>46117</v>
      </c>
      <c r="C462" t="s">
        <v>19</v>
      </c>
      <c r="D462" t="s">
        <v>20</v>
      </c>
      <c r="E462" t="s">
        <v>15</v>
      </c>
      <c r="F462">
        <v>76</v>
      </c>
      <c r="G462" s="3">
        <v>3.05</v>
      </c>
      <c r="H462" s="3">
        <v>231.8</v>
      </c>
      <c r="I462" t="s">
        <v>46</v>
      </c>
      <c r="J462" t="e">
        <f t="shared" si="7"/>
        <v>#VALUE!</v>
      </c>
    </row>
    <row r="463" spans="1:10" x14ac:dyDescent="0.35">
      <c r="A463">
        <v>436</v>
      </c>
      <c r="B463" s="2">
        <v>46117</v>
      </c>
      <c r="C463" t="s">
        <v>32</v>
      </c>
      <c r="D463" t="s">
        <v>20</v>
      </c>
      <c r="E463" t="s">
        <v>11</v>
      </c>
      <c r="F463">
        <v>102</v>
      </c>
      <c r="G463" s="3">
        <v>3.22</v>
      </c>
      <c r="H463" s="3">
        <v>328.44</v>
      </c>
      <c r="I463" t="s">
        <v>46</v>
      </c>
      <c r="J463" t="e">
        <f t="shared" si="7"/>
        <v>#VALUE!</v>
      </c>
    </row>
    <row r="464" spans="1:10" x14ac:dyDescent="0.35">
      <c r="A464">
        <v>335</v>
      </c>
      <c r="B464" s="2">
        <v>46118</v>
      </c>
      <c r="C464" t="s">
        <v>32</v>
      </c>
      <c r="D464" t="s">
        <v>20</v>
      </c>
      <c r="E464" t="s">
        <v>11</v>
      </c>
      <c r="F464">
        <v>55</v>
      </c>
      <c r="G464" s="3">
        <v>3.15</v>
      </c>
      <c r="H464" s="3">
        <v>173.25</v>
      </c>
      <c r="I464" t="s">
        <v>46</v>
      </c>
      <c r="J464" t="e">
        <f t="shared" si="7"/>
        <v>#VALUE!</v>
      </c>
    </row>
    <row r="465" spans="1:10" x14ac:dyDescent="0.35">
      <c r="A465">
        <v>517</v>
      </c>
      <c r="B465" s="2">
        <v>46118</v>
      </c>
      <c r="C465" t="s">
        <v>19</v>
      </c>
      <c r="D465" t="s">
        <v>20</v>
      </c>
      <c r="E465" t="s">
        <v>15</v>
      </c>
      <c r="F465">
        <v>45</v>
      </c>
      <c r="G465" s="3">
        <v>3.16</v>
      </c>
      <c r="H465" s="3">
        <v>142.19999999999999</v>
      </c>
      <c r="I465" t="s">
        <v>46</v>
      </c>
      <c r="J465" t="e">
        <f t="shared" si="7"/>
        <v>#VALUE!</v>
      </c>
    </row>
    <row r="466" spans="1:10" x14ac:dyDescent="0.35">
      <c r="A466">
        <v>51</v>
      </c>
      <c r="B466" s="2">
        <v>46119</v>
      </c>
      <c r="C466" t="s">
        <v>26</v>
      </c>
      <c r="D466" t="s">
        <v>27</v>
      </c>
      <c r="E466" t="s">
        <v>15</v>
      </c>
      <c r="F466">
        <v>66</v>
      </c>
      <c r="G466" s="3">
        <v>2.41</v>
      </c>
      <c r="H466" s="3">
        <v>159.06</v>
      </c>
      <c r="I466" t="s">
        <v>46</v>
      </c>
      <c r="J466" t="e">
        <f t="shared" si="7"/>
        <v>#VALUE!</v>
      </c>
    </row>
    <row r="467" spans="1:10" x14ac:dyDescent="0.35">
      <c r="A467">
        <v>355</v>
      </c>
      <c r="B467" s="2">
        <v>46119</v>
      </c>
      <c r="C467" t="s">
        <v>26</v>
      </c>
      <c r="D467" t="s">
        <v>27</v>
      </c>
      <c r="E467" t="s">
        <v>15</v>
      </c>
      <c r="F467">
        <v>99</v>
      </c>
      <c r="G467" s="3">
        <v>2.62</v>
      </c>
      <c r="H467" s="3">
        <v>259.38</v>
      </c>
      <c r="I467" t="s">
        <v>46</v>
      </c>
      <c r="J467" t="e">
        <f t="shared" si="7"/>
        <v>#VALUE!</v>
      </c>
    </row>
    <row r="468" spans="1:10" x14ac:dyDescent="0.35">
      <c r="A468">
        <v>447</v>
      </c>
      <c r="B468" s="2">
        <v>46119</v>
      </c>
      <c r="C468" t="s">
        <v>9</v>
      </c>
      <c r="D468" t="s">
        <v>10</v>
      </c>
      <c r="E468" t="s">
        <v>11</v>
      </c>
      <c r="F468">
        <v>48</v>
      </c>
      <c r="G468" s="3">
        <v>11.69</v>
      </c>
      <c r="H468" s="3">
        <v>561.12</v>
      </c>
      <c r="I468" t="s">
        <v>46</v>
      </c>
      <c r="J468" t="e">
        <f t="shared" si="7"/>
        <v>#VALUE!</v>
      </c>
    </row>
    <row r="469" spans="1:10" x14ac:dyDescent="0.35">
      <c r="A469">
        <v>556</v>
      </c>
      <c r="B469" s="2">
        <v>46119</v>
      </c>
      <c r="C469" t="s">
        <v>32</v>
      </c>
      <c r="D469" t="s">
        <v>20</v>
      </c>
      <c r="E469" t="s">
        <v>11</v>
      </c>
      <c r="F469">
        <v>37</v>
      </c>
      <c r="G469" s="3">
        <v>3.37</v>
      </c>
      <c r="H469" s="3">
        <v>124.69</v>
      </c>
      <c r="I469" t="s">
        <v>46</v>
      </c>
      <c r="J469" t="e">
        <f t="shared" si="7"/>
        <v>#VALUE!</v>
      </c>
    </row>
    <row r="470" spans="1:10" x14ac:dyDescent="0.35">
      <c r="A470">
        <v>285</v>
      </c>
      <c r="B470" s="2">
        <v>46120</v>
      </c>
      <c r="C470" t="s">
        <v>31</v>
      </c>
      <c r="D470" t="s">
        <v>14</v>
      </c>
      <c r="E470" t="s">
        <v>11</v>
      </c>
      <c r="F470">
        <v>74</v>
      </c>
      <c r="G470" s="3">
        <v>6.49</v>
      </c>
      <c r="H470" s="3">
        <v>480.26</v>
      </c>
      <c r="I470" t="s">
        <v>46</v>
      </c>
      <c r="J470" t="e">
        <f t="shared" si="7"/>
        <v>#VALUE!</v>
      </c>
    </row>
    <row r="471" spans="1:10" x14ac:dyDescent="0.35">
      <c r="A471">
        <v>18</v>
      </c>
      <c r="B471" s="2">
        <v>46121</v>
      </c>
      <c r="C471" t="s">
        <v>35</v>
      </c>
      <c r="D471" t="s">
        <v>17</v>
      </c>
      <c r="E471" t="s">
        <v>11</v>
      </c>
      <c r="F471">
        <v>59</v>
      </c>
      <c r="G471" s="3">
        <v>5.3</v>
      </c>
      <c r="H471" s="3">
        <v>312.7</v>
      </c>
      <c r="I471" t="s">
        <v>46</v>
      </c>
      <c r="J471" t="e">
        <f t="shared" si="7"/>
        <v>#VALUE!</v>
      </c>
    </row>
    <row r="472" spans="1:10" x14ac:dyDescent="0.35">
      <c r="A472">
        <v>446</v>
      </c>
      <c r="B472" s="2">
        <v>46121</v>
      </c>
      <c r="C472" t="s">
        <v>16</v>
      </c>
      <c r="D472" t="s">
        <v>17</v>
      </c>
      <c r="E472" t="s">
        <v>15</v>
      </c>
      <c r="F472">
        <v>72</v>
      </c>
      <c r="G472" s="3">
        <v>2.2400000000000002</v>
      </c>
      <c r="H472" s="3">
        <v>161.28</v>
      </c>
      <c r="I472" t="s">
        <v>46</v>
      </c>
      <c r="J472" t="e">
        <f t="shared" si="7"/>
        <v>#VALUE!</v>
      </c>
    </row>
    <row r="473" spans="1:10" x14ac:dyDescent="0.35">
      <c r="A473">
        <v>292</v>
      </c>
      <c r="B473" s="2">
        <v>46122</v>
      </c>
      <c r="C473" t="s">
        <v>35</v>
      </c>
      <c r="D473" t="s">
        <v>17</v>
      </c>
      <c r="E473" t="s">
        <v>11</v>
      </c>
      <c r="F473">
        <v>47</v>
      </c>
      <c r="G473" s="3">
        <v>5.7</v>
      </c>
      <c r="H473" s="3">
        <v>267.89999999999998</v>
      </c>
      <c r="I473" t="s">
        <v>46</v>
      </c>
      <c r="J473" t="e">
        <f t="shared" si="7"/>
        <v>#VALUE!</v>
      </c>
    </row>
    <row r="474" spans="1:10" x14ac:dyDescent="0.35">
      <c r="A474">
        <v>119</v>
      </c>
      <c r="B474" s="2">
        <v>46124</v>
      </c>
      <c r="C474" t="s">
        <v>29</v>
      </c>
      <c r="D474" t="s">
        <v>22</v>
      </c>
      <c r="E474" t="s">
        <v>15</v>
      </c>
      <c r="F474">
        <v>50</v>
      </c>
      <c r="G474" s="3">
        <v>1.53</v>
      </c>
      <c r="H474" s="3">
        <v>76.5</v>
      </c>
      <c r="I474" t="s">
        <v>46</v>
      </c>
      <c r="J474" t="e">
        <f t="shared" si="7"/>
        <v>#VALUE!</v>
      </c>
    </row>
    <row r="475" spans="1:10" x14ac:dyDescent="0.35">
      <c r="A475">
        <v>180</v>
      </c>
      <c r="B475" s="2">
        <v>46124</v>
      </c>
      <c r="C475" t="s">
        <v>16</v>
      </c>
      <c r="D475" t="s">
        <v>17</v>
      </c>
      <c r="E475" t="s">
        <v>15</v>
      </c>
      <c r="F475">
        <v>57</v>
      </c>
      <c r="G475" s="3">
        <v>2.11</v>
      </c>
      <c r="H475" s="3">
        <v>120.27</v>
      </c>
      <c r="I475" t="s">
        <v>46</v>
      </c>
      <c r="J475" t="e">
        <f t="shared" si="7"/>
        <v>#VALUE!</v>
      </c>
    </row>
    <row r="476" spans="1:10" x14ac:dyDescent="0.35">
      <c r="A476">
        <v>451</v>
      </c>
      <c r="B476" s="2">
        <v>46124</v>
      </c>
      <c r="C476" t="s">
        <v>35</v>
      </c>
      <c r="D476" t="s">
        <v>17</v>
      </c>
      <c r="E476" t="s">
        <v>11</v>
      </c>
      <c r="F476">
        <v>34</v>
      </c>
      <c r="G476" s="3">
        <v>5.47</v>
      </c>
      <c r="H476" s="3">
        <v>185.98</v>
      </c>
      <c r="I476" t="s">
        <v>46</v>
      </c>
      <c r="J476" t="e">
        <f t="shared" si="7"/>
        <v>#VALUE!</v>
      </c>
    </row>
    <row r="477" spans="1:10" x14ac:dyDescent="0.35">
      <c r="A477">
        <v>466</v>
      </c>
      <c r="B477" s="2">
        <v>46124</v>
      </c>
      <c r="C477" t="s">
        <v>28</v>
      </c>
      <c r="D477" t="s">
        <v>20</v>
      </c>
      <c r="E477" t="s">
        <v>15</v>
      </c>
      <c r="F477">
        <v>43</v>
      </c>
      <c r="G477" s="3">
        <v>2.5299999999999998</v>
      </c>
      <c r="H477" s="3">
        <v>108.79</v>
      </c>
      <c r="I477" t="s">
        <v>46</v>
      </c>
      <c r="J477" t="e">
        <f t="shared" si="7"/>
        <v>#VALUE!</v>
      </c>
    </row>
    <row r="478" spans="1:10" x14ac:dyDescent="0.35">
      <c r="A478">
        <v>533</v>
      </c>
      <c r="B478" s="2">
        <v>46124</v>
      </c>
      <c r="C478" t="s">
        <v>37</v>
      </c>
      <c r="D478" t="s">
        <v>27</v>
      </c>
      <c r="E478" t="s">
        <v>11</v>
      </c>
      <c r="F478">
        <v>42</v>
      </c>
      <c r="G478" s="3">
        <v>8.26</v>
      </c>
      <c r="H478" s="3">
        <v>346.92</v>
      </c>
      <c r="I478" t="s">
        <v>46</v>
      </c>
      <c r="J478" t="e">
        <f t="shared" si="7"/>
        <v>#VALUE!</v>
      </c>
    </row>
    <row r="479" spans="1:10" x14ac:dyDescent="0.35">
      <c r="A479">
        <v>52</v>
      </c>
      <c r="B479" s="2">
        <v>46126</v>
      </c>
      <c r="C479" t="s">
        <v>37</v>
      </c>
      <c r="D479" t="s">
        <v>27</v>
      </c>
      <c r="E479" t="s">
        <v>11</v>
      </c>
      <c r="F479">
        <v>76</v>
      </c>
      <c r="G479" s="3">
        <v>7.75</v>
      </c>
      <c r="H479" s="3">
        <v>589</v>
      </c>
      <c r="I479" t="s">
        <v>46</v>
      </c>
      <c r="J479" t="e">
        <f t="shared" si="7"/>
        <v>#VALUE!</v>
      </c>
    </row>
    <row r="480" spans="1:10" x14ac:dyDescent="0.35">
      <c r="A480">
        <v>387</v>
      </c>
      <c r="B480" s="2">
        <v>46126</v>
      </c>
      <c r="C480" t="s">
        <v>9</v>
      </c>
      <c r="D480" t="s">
        <v>10</v>
      </c>
      <c r="E480" t="s">
        <v>11</v>
      </c>
      <c r="F480">
        <v>20</v>
      </c>
      <c r="G480" s="3">
        <v>12.67</v>
      </c>
      <c r="H480" s="3">
        <v>253.4</v>
      </c>
      <c r="I480" t="s">
        <v>46</v>
      </c>
      <c r="J480" t="e">
        <f t="shared" si="7"/>
        <v>#VALUE!</v>
      </c>
    </row>
    <row r="481" spans="1:10" x14ac:dyDescent="0.35">
      <c r="A481">
        <v>14</v>
      </c>
      <c r="B481" s="2">
        <v>46127</v>
      </c>
      <c r="C481" t="s">
        <v>26</v>
      </c>
      <c r="D481" t="s">
        <v>27</v>
      </c>
      <c r="E481" t="s">
        <v>15</v>
      </c>
      <c r="F481">
        <v>70</v>
      </c>
      <c r="G481" s="3">
        <v>2.59</v>
      </c>
      <c r="H481" s="3">
        <v>181.3</v>
      </c>
      <c r="I481" t="s">
        <v>46</v>
      </c>
      <c r="J481" t="e">
        <f t="shared" si="7"/>
        <v>#VALUE!</v>
      </c>
    </row>
    <row r="482" spans="1:10" x14ac:dyDescent="0.35">
      <c r="A482">
        <v>109</v>
      </c>
      <c r="B482" s="2">
        <v>46127</v>
      </c>
      <c r="C482" t="s">
        <v>29</v>
      </c>
      <c r="D482" t="s">
        <v>22</v>
      </c>
      <c r="E482" t="s">
        <v>15</v>
      </c>
      <c r="F482">
        <v>43</v>
      </c>
      <c r="G482" s="3">
        <v>1.59</v>
      </c>
      <c r="H482" s="3">
        <v>68.37</v>
      </c>
      <c r="I482" t="s">
        <v>46</v>
      </c>
      <c r="J482" t="e">
        <f t="shared" si="7"/>
        <v>#VALUE!</v>
      </c>
    </row>
    <row r="483" spans="1:10" x14ac:dyDescent="0.35">
      <c r="A483">
        <v>265</v>
      </c>
      <c r="B483" s="2">
        <v>46127</v>
      </c>
      <c r="C483" t="s">
        <v>9</v>
      </c>
      <c r="D483" t="s">
        <v>10</v>
      </c>
      <c r="E483" t="s">
        <v>11</v>
      </c>
      <c r="F483">
        <v>61</v>
      </c>
      <c r="G483" s="3">
        <v>11.63</v>
      </c>
      <c r="H483" s="3">
        <v>709.43</v>
      </c>
      <c r="I483" t="s">
        <v>46</v>
      </c>
      <c r="J483" t="e">
        <f t="shared" si="7"/>
        <v>#VALUE!</v>
      </c>
    </row>
    <row r="484" spans="1:10" x14ac:dyDescent="0.35">
      <c r="A484">
        <v>538</v>
      </c>
      <c r="B484" s="2">
        <v>46128</v>
      </c>
      <c r="C484" t="s">
        <v>26</v>
      </c>
      <c r="D484" t="s">
        <v>27</v>
      </c>
      <c r="E484" t="s">
        <v>15</v>
      </c>
      <c r="F484">
        <v>52</v>
      </c>
      <c r="G484" s="3">
        <v>2.54</v>
      </c>
      <c r="H484" s="3">
        <v>132.08000000000001</v>
      </c>
      <c r="I484" t="s">
        <v>46</v>
      </c>
      <c r="J484" t="e">
        <f t="shared" si="7"/>
        <v>#VALUE!</v>
      </c>
    </row>
    <row r="485" spans="1:10" x14ac:dyDescent="0.35">
      <c r="A485">
        <v>202</v>
      </c>
      <c r="B485" s="2">
        <v>46130</v>
      </c>
      <c r="C485" t="s">
        <v>13</v>
      </c>
      <c r="D485" t="s">
        <v>14</v>
      </c>
      <c r="E485" t="s">
        <v>15</v>
      </c>
      <c r="F485">
        <v>41</v>
      </c>
      <c r="G485" s="3">
        <v>1.8</v>
      </c>
      <c r="H485" s="3">
        <v>73.8</v>
      </c>
      <c r="I485" t="s">
        <v>46</v>
      </c>
      <c r="J485" t="e">
        <f t="shared" si="7"/>
        <v>#VALUE!</v>
      </c>
    </row>
    <row r="486" spans="1:10" x14ac:dyDescent="0.35">
      <c r="A486">
        <v>295</v>
      </c>
      <c r="B486" s="2">
        <v>46131</v>
      </c>
      <c r="C486" t="s">
        <v>28</v>
      </c>
      <c r="D486" t="s">
        <v>20</v>
      </c>
      <c r="E486" t="s">
        <v>15</v>
      </c>
      <c r="F486">
        <v>32</v>
      </c>
      <c r="G486" s="3">
        <v>2.4300000000000002</v>
      </c>
      <c r="H486" s="3">
        <v>77.760000000000005</v>
      </c>
      <c r="I486" t="s">
        <v>46</v>
      </c>
      <c r="J486" t="e">
        <f t="shared" si="7"/>
        <v>#VALUE!</v>
      </c>
    </row>
    <row r="487" spans="1:10" x14ac:dyDescent="0.35">
      <c r="A487">
        <v>133</v>
      </c>
      <c r="B487" s="2">
        <v>46132</v>
      </c>
      <c r="C487" t="s">
        <v>31</v>
      </c>
      <c r="D487" t="s">
        <v>14</v>
      </c>
      <c r="E487" t="s">
        <v>11</v>
      </c>
      <c r="F487">
        <v>50</v>
      </c>
      <c r="G487" s="3">
        <v>6.33</v>
      </c>
      <c r="H487" s="3">
        <v>316.5</v>
      </c>
      <c r="I487" t="s">
        <v>46</v>
      </c>
      <c r="J487" t="e">
        <f t="shared" si="7"/>
        <v>#VALUE!</v>
      </c>
    </row>
    <row r="488" spans="1:10" x14ac:dyDescent="0.35">
      <c r="A488">
        <v>431</v>
      </c>
      <c r="B488" s="2">
        <v>46132</v>
      </c>
      <c r="C488" t="s">
        <v>37</v>
      </c>
      <c r="D488" t="s">
        <v>27</v>
      </c>
      <c r="E488" t="s">
        <v>11</v>
      </c>
      <c r="F488">
        <v>44</v>
      </c>
      <c r="G488" s="3">
        <v>7.95</v>
      </c>
      <c r="H488" s="3">
        <v>349.8</v>
      </c>
      <c r="I488" t="s">
        <v>46</v>
      </c>
      <c r="J488" t="e">
        <f t="shared" si="7"/>
        <v>#VALUE!</v>
      </c>
    </row>
    <row r="489" spans="1:10" x14ac:dyDescent="0.35">
      <c r="A489">
        <v>457</v>
      </c>
      <c r="B489" s="2">
        <v>46132</v>
      </c>
      <c r="C489" t="s">
        <v>33</v>
      </c>
      <c r="D489" t="s">
        <v>20</v>
      </c>
      <c r="E489" t="s">
        <v>11</v>
      </c>
      <c r="F489">
        <v>54</v>
      </c>
      <c r="G489" s="3">
        <v>5.85</v>
      </c>
      <c r="H489" s="3">
        <v>315.89999999999998</v>
      </c>
      <c r="I489" t="s">
        <v>46</v>
      </c>
      <c r="J489" t="e">
        <f t="shared" si="7"/>
        <v>#VALUE!</v>
      </c>
    </row>
    <row r="490" spans="1:10" x14ac:dyDescent="0.35">
      <c r="A490">
        <v>283</v>
      </c>
      <c r="B490" s="2">
        <v>46133</v>
      </c>
      <c r="C490" t="s">
        <v>37</v>
      </c>
      <c r="D490" t="s">
        <v>27</v>
      </c>
      <c r="E490" t="s">
        <v>11</v>
      </c>
      <c r="F490">
        <v>29</v>
      </c>
      <c r="G490" s="3">
        <v>8</v>
      </c>
      <c r="H490" s="3">
        <v>232</v>
      </c>
      <c r="I490" t="s">
        <v>46</v>
      </c>
      <c r="J490" t="e">
        <f t="shared" si="7"/>
        <v>#VALUE!</v>
      </c>
    </row>
    <row r="491" spans="1:10" x14ac:dyDescent="0.35">
      <c r="A491">
        <v>394</v>
      </c>
      <c r="B491" s="2">
        <v>46133</v>
      </c>
      <c r="C491" t="s">
        <v>23</v>
      </c>
      <c r="D491" t="s">
        <v>17</v>
      </c>
      <c r="E491" t="s">
        <v>11</v>
      </c>
      <c r="F491">
        <v>13</v>
      </c>
      <c r="G491" s="3">
        <v>6.29</v>
      </c>
      <c r="H491" s="3">
        <v>81.77</v>
      </c>
      <c r="I491" t="s">
        <v>46</v>
      </c>
      <c r="J491" t="e">
        <f t="shared" si="7"/>
        <v>#VALUE!</v>
      </c>
    </row>
    <row r="492" spans="1:10" x14ac:dyDescent="0.35">
      <c r="A492">
        <v>203</v>
      </c>
      <c r="B492" s="2">
        <v>46134</v>
      </c>
      <c r="C492" t="s">
        <v>36</v>
      </c>
      <c r="D492" t="s">
        <v>14</v>
      </c>
      <c r="E492" t="s">
        <v>15</v>
      </c>
      <c r="F492">
        <v>37</v>
      </c>
      <c r="G492" s="3">
        <v>2.25</v>
      </c>
      <c r="H492" s="3">
        <v>83.25</v>
      </c>
      <c r="I492" t="s">
        <v>46</v>
      </c>
      <c r="J492" t="e">
        <f t="shared" si="7"/>
        <v>#VALUE!</v>
      </c>
    </row>
    <row r="493" spans="1:10" x14ac:dyDescent="0.35">
      <c r="A493">
        <v>165</v>
      </c>
      <c r="B493" s="2">
        <v>46137</v>
      </c>
      <c r="C493" t="s">
        <v>24</v>
      </c>
      <c r="D493" t="s">
        <v>10</v>
      </c>
      <c r="E493" t="s">
        <v>11</v>
      </c>
      <c r="F493">
        <v>42</v>
      </c>
      <c r="G493" s="3">
        <v>14.69</v>
      </c>
      <c r="H493" s="3">
        <v>616.98</v>
      </c>
      <c r="I493" t="s">
        <v>46</v>
      </c>
      <c r="J493" t="e">
        <f t="shared" si="7"/>
        <v>#VALUE!</v>
      </c>
    </row>
    <row r="494" spans="1:10" x14ac:dyDescent="0.35">
      <c r="A494">
        <v>135</v>
      </c>
      <c r="B494" s="2">
        <v>46138</v>
      </c>
      <c r="C494" t="s">
        <v>30</v>
      </c>
      <c r="D494" t="s">
        <v>14</v>
      </c>
      <c r="E494" t="s">
        <v>11</v>
      </c>
      <c r="F494">
        <v>5</v>
      </c>
      <c r="G494" s="3">
        <v>4.6500000000000004</v>
      </c>
      <c r="H494" s="3">
        <v>23.25</v>
      </c>
      <c r="I494" t="s">
        <v>46</v>
      </c>
      <c r="J494" t="e">
        <f t="shared" si="7"/>
        <v>#VALUE!</v>
      </c>
    </row>
    <row r="495" spans="1:10" x14ac:dyDescent="0.35">
      <c r="A495">
        <v>94</v>
      </c>
      <c r="B495" s="2">
        <v>46139</v>
      </c>
      <c r="C495" t="s">
        <v>36</v>
      </c>
      <c r="D495" t="s">
        <v>14</v>
      </c>
      <c r="E495" t="s">
        <v>15</v>
      </c>
      <c r="F495">
        <v>63</v>
      </c>
      <c r="G495" s="3">
        <v>2.29</v>
      </c>
      <c r="H495" s="3">
        <v>144.27000000000001</v>
      </c>
      <c r="I495" t="s">
        <v>46</v>
      </c>
      <c r="J495" t="e">
        <f t="shared" si="7"/>
        <v>#VALUE!</v>
      </c>
    </row>
    <row r="496" spans="1:10" x14ac:dyDescent="0.35">
      <c r="A496">
        <v>409</v>
      </c>
      <c r="B496" s="2">
        <v>46139</v>
      </c>
      <c r="C496" t="s">
        <v>31</v>
      </c>
      <c r="D496" t="s">
        <v>14</v>
      </c>
      <c r="E496" t="s">
        <v>11</v>
      </c>
      <c r="F496">
        <v>66</v>
      </c>
      <c r="G496" s="3">
        <v>6.27</v>
      </c>
      <c r="H496" s="3">
        <v>413.82</v>
      </c>
      <c r="I496" t="s">
        <v>46</v>
      </c>
      <c r="J496" t="e">
        <f t="shared" si="7"/>
        <v>#VALUE!</v>
      </c>
    </row>
    <row r="497" spans="1:10" x14ac:dyDescent="0.35">
      <c r="A497">
        <v>498</v>
      </c>
      <c r="B497" s="2">
        <v>46139</v>
      </c>
      <c r="C497" t="s">
        <v>28</v>
      </c>
      <c r="D497" t="s">
        <v>20</v>
      </c>
      <c r="E497" t="s">
        <v>15</v>
      </c>
      <c r="F497">
        <v>43</v>
      </c>
      <c r="G497" s="3">
        <v>2.41</v>
      </c>
      <c r="H497" s="3">
        <v>103.63</v>
      </c>
      <c r="I497" t="s">
        <v>46</v>
      </c>
      <c r="J497" t="e">
        <f t="shared" si="7"/>
        <v>#VALUE!</v>
      </c>
    </row>
    <row r="498" spans="1:10" x14ac:dyDescent="0.35">
      <c r="A498">
        <v>305</v>
      </c>
      <c r="B498" s="2">
        <v>46140</v>
      </c>
      <c r="C498" t="s">
        <v>25</v>
      </c>
      <c r="D498" t="s">
        <v>17</v>
      </c>
      <c r="E498" t="s">
        <v>15</v>
      </c>
      <c r="F498">
        <v>66</v>
      </c>
      <c r="G498" s="3">
        <v>2</v>
      </c>
      <c r="H498" s="3">
        <v>132</v>
      </c>
      <c r="I498" t="s">
        <v>46</v>
      </c>
      <c r="J498" t="e">
        <f t="shared" si="7"/>
        <v>#VALUE!</v>
      </c>
    </row>
    <row r="499" spans="1:10" x14ac:dyDescent="0.35">
      <c r="A499">
        <v>270</v>
      </c>
      <c r="B499" s="2">
        <v>46143</v>
      </c>
      <c r="C499" t="s">
        <v>23</v>
      </c>
      <c r="D499" t="s">
        <v>17</v>
      </c>
      <c r="E499" t="s">
        <v>11</v>
      </c>
      <c r="F499">
        <v>54</v>
      </c>
      <c r="G499" s="3">
        <v>6.25</v>
      </c>
      <c r="H499" s="3">
        <v>337.5</v>
      </c>
      <c r="I499" t="s">
        <v>47</v>
      </c>
      <c r="J499" t="e">
        <f t="shared" si="7"/>
        <v>#VALUE!</v>
      </c>
    </row>
    <row r="500" spans="1:10" x14ac:dyDescent="0.35">
      <c r="A500">
        <v>405</v>
      </c>
      <c r="B500" s="2">
        <v>46143</v>
      </c>
      <c r="C500" t="s">
        <v>32</v>
      </c>
      <c r="D500" t="s">
        <v>20</v>
      </c>
      <c r="E500" t="s">
        <v>11</v>
      </c>
      <c r="F500">
        <v>64</v>
      </c>
      <c r="G500" s="3">
        <v>3.45</v>
      </c>
      <c r="H500" s="3">
        <v>220.8</v>
      </c>
      <c r="I500" t="s">
        <v>47</v>
      </c>
      <c r="J500" t="e">
        <f t="shared" si="7"/>
        <v>#VALUE!</v>
      </c>
    </row>
    <row r="501" spans="1:10" x14ac:dyDescent="0.35">
      <c r="A501">
        <v>116</v>
      </c>
      <c r="B501" s="2">
        <v>46144</v>
      </c>
      <c r="C501" t="s">
        <v>24</v>
      </c>
      <c r="D501" t="s">
        <v>10</v>
      </c>
      <c r="E501" t="s">
        <v>11</v>
      </c>
      <c r="F501">
        <v>40</v>
      </c>
      <c r="G501" s="3">
        <v>16.14</v>
      </c>
      <c r="H501" s="3">
        <v>645.6</v>
      </c>
      <c r="I501" t="s">
        <v>47</v>
      </c>
      <c r="J501" t="e">
        <f t="shared" si="7"/>
        <v>#VALUE!</v>
      </c>
    </row>
    <row r="502" spans="1:10" x14ac:dyDescent="0.35">
      <c r="A502">
        <v>475</v>
      </c>
      <c r="B502" s="2">
        <v>46146</v>
      </c>
      <c r="C502" t="s">
        <v>26</v>
      </c>
      <c r="D502" t="s">
        <v>27</v>
      </c>
      <c r="E502" t="s">
        <v>15</v>
      </c>
      <c r="F502">
        <v>80</v>
      </c>
      <c r="G502" s="3">
        <v>2.58</v>
      </c>
      <c r="H502" s="3">
        <v>206.4</v>
      </c>
      <c r="I502" t="s">
        <v>47</v>
      </c>
      <c r="J502" t="e">
        <f t="shared" si="7"/>
        <v>#VALUE!</v>
      </c>
    </row>
    <row r="503" spans="1:10" x14ac:dyDescent="0.35">
      <c r="A503">
        <v>157</v>
      </c>
      <c r="B503" s="2">
        <v>46147</v>
      </c>
      <c r="C503" t="s">
        <v>33</v>
      </c>
      <c r="D503" t="s">
        <v>20</v>
      </c>
      <c r="E503" t="s">
        <v>11</v>
      </c>
      <c r="F503">
        <v>5</v>
      </c>
      <c r="G503" s="3">
        <v>5.46</v>
      </c>
      <c r="H503" s="3">
        <v>27.3</v>
      </c>
      <c r="I503" t="s">
        <v>47</v>
      </c>
      <c r="J503" t="e">
        <f t="shared" si="7"/>
        <v>#VALUE!</v>
      </c>
    </row>
    <row r="504" spans="1:10" x14ac:dyDescent="0.35">
      <c r="A504">
        <v>173</v>
      </c>
      <c r="B504" s="2">
        <v>46147</v>
      </c>
      <c r="C504" t="s">
        <v>33</v>
      </c>
      <c r="D504" t="s">
        <v>20</v>
      </c>
      <c r="E504" t="s">
        <v>11</v>
      </c>
      <c r="F504">
        <v>53</v>
      </c>
      <c r="G504" s="3">
        <v>5.31</v>
      </c>
      <c r="H504" s="3">
        <v>281.43</v>
      </c>
      <c r="I504" t="s">
        <v>47</v>
      </c>
      <c r="J504" t="e">
        <f t="shared" si="7"/>
        <v>#VALUE!</v>
      </c>
    </row>
    <row r="505" spans="1:10" x14ac:dyDescent="0.35">
      <c r="A505">
        <v>561</v>
      </c>
      <c r="B505" s="2">
        <v>46148</v>
      </c>
      <c r="C505" t="s">
        <v>24</v>
      </c>
      <c r="D505" t="s">
        <v>10</v>
      </c>
      <c r="E505" t="s">
        <v>11</v>
      </c>
      <c r="F505">
        <v>57</v>
      </c>
      <c r="G505" s="3">
        <v>14.5</v>
      </c>
      <c r="H505" s="3">
        <v>826.5</v>
      </c>
      <c r="I505" t="s">
        <v>47</v>
      </c>
      <c r="J505" t="e">
        <f t="shared" si="7"/>
        <v>#VALUE!</v>
      </c>
    </row>
    <row r="506" spans="1:10" x14ac:dyDescent="0.35">
      <c r="A506">
        <v>563</v>
      </c>
      <c r="B506" s="2">
        <v>46148</v>
      </c>
      <c r="C506" t="s">
        <v>9</v>
      </c>
      <c r="D506" t="s">
        <v>10</v>
      </c>
      <c r="E506" t="s">
        <v>11</v>
      </c>
      <c r="F506">
        <v>29</v>
      </c>
      <c r="G506" s="3">
        <v>11.49</v>
      </c>
      <c r="H506" s="3">
        <v>333.21</v>
      </c>
      <c r="I506" t="s">
        <v>47</v>
      </c>
      <c r="J506" t="e">
        <f t="shared" si="7"/>
        <v>#VALUE!</v>
      </c>
    </row>
    <row r="507" spans="1:10" x14ac:dyDescent="0.35">
      <c r="A507">
        <v>111</v>
      </c>
      <c r="B507" s="2">
        <v>46149</v>
      </c>
      <c r="C507" t="s">
        <v>25</v>
      </c>
      <c r="D507" t="s">
        <v>17</v>
      </c>
      <c r="E507" t="s">
        <v>15</v>
      </c>
      <c r="F507">
        <v>84</v>
      </c>
      <c r="G507" s="3">
        <v>2.14</v>
      </c>
      <c r="H507" s="3">
        <v>179.76</v>
      </c>
      <c r="I507" t="s">
        <v>47</v>
      </c>
      <c r="J507" t="e">
        <f t="shared" si="7"/>
        <v>#VALUE!</v>
      </c>
    </row>
    <row r="508" spans="1:10" x14ac:dyDescent="0.35">
      <c r="A508">
        <v>220</v>
      </c>
      <c r="B508" s="2">
        <v>46149</v>
      </c>
      <c r="C508" t="s">
        <v>18</v>
      </c>
      <c r="D508" t="s">
        <v>10</v>
      </c>
      <c r="E508" t="s">
        <v>15</v>
      </c>
      <c r="F508">
        <v>71</v>
      </c>
      <c r="G508" s="3">
        <v>5.72</v>
      </c>
      <c r="H508" s="3">
        <v>406.12</v>
      </c>
      <c r="I508" t="s">
        <v>47</v>
      </c>
      <c r="J508" t="e">
        <f t="shared" si="7"/>
        <v>#VALUE!</v>
      </c>
    </row>
    <row r="509" spans="1:10" x14ac:dyDescent="0.35">
      <c r="A509">
        <v>343</v>
      </c>
      <c r="B509" s="2">
        <v>46149</v>
      </c>
      <c r="C509" t="s">
        <v>31</v>
      </c>
      <c r="D509" t="s">
        <v>14</v>
      </c>
      <c r="E509" t="s">
        <v>11</v>
      </c>
      <c r="F509">
        <v>67</v>
      </c>
      <c r="G509" s="3">
        <v>6.18</v>
      </c>
      <c r="H509" s="3">
        <v>414.06</v>
      </c>
      <c r="I509" t="s">
        <v>47</v>
      </c>
      <c r="J509" t="e">
        <f t="shared" si="7"/>
        <v>#VALUE!</v>
      </c>
    </row>
    <row r="510" spans="1:10" x14ac:dyDescent="0.35">
      <c r="A510">
        <v>476</v>
      </c>
      <c r="B510" s="2">
        <v>46149</v>
      </c>
      <c r="C510" t="s">
        <v>32</v>
      </c>
      <c r="D510" t="s">
        <v>20</v>
      </c>
      <c r="E510" t="s">
        <v>11</v>
      </c>
      <c r="F510">
        <v>40</v>
      </c>
      <c r="G510" s="3">
        <v>3.14</v>
      </c>
      <c r="H510" s="3">
        <v>125.6</v>
      </c>
      <c r="I510" t="s">
        <v>47</v>
      </c>
      <c r="J510" t="e">
        <f t="shared" si="7"/>
        <v>#VALUE!</v>
      </c>
    </row>
    <row r="511" spans="1:10" x14ac:dyDescent="0.35">
      <c r="A511">
        <v>108</v>
      </c>
      <c r="B511" s="2">
        <v>46150</v>
      </c>
      <c r="C511" t="s">
        <v>16</v>
      </c>
      <c r="D511" t="s">
        <v>17</v>
      </c>
      <c r="E511" t="s">
        <v>15</v>
      </c>
      <c r="F511">
        <v>81</v>
      </c>
      <c r="G511" s="3">
        <v>2.14</v>
      </c>
      <c r="H511" s="3">
        <v>173.34</v>
      </c>
      <c r="I511" t="s">
        <v>47</v>
      </c>
      <c r="J511" t="e">
        <f t="shared" si="7"/>
        <v>#VALUE!</v>
      </c>
    </row>
    <row r="512" spans="1:10" x14ac:dyDescent="0.35">
      <c r="A512">
        <v>205</v>
      </c>
      <c r="B512" s="2">
        <v>46150</v>
      </c>
      <c r="C512" t="s">
        <v>13</v>
      </c>
      <c r="D512" t="s">
        <v>14</v>
      </c>
      <c r="E512" t="s">
        <v>15</v>
      </c>
      <c r="F512">
        <v>32</v>
      </c>
      <c r="G512" s="3">
        <v>1.91</v>
      </c>
      <c r="H512" s="3">
        <v>61.12</v>
      </c>
      <c r="I512" t="s">
        <v>47</v>
      </c>
      <c r="J512" t="e">
        <f t="shared" si="7"/>
        <v>#VALUE!</v>
      </c>
    </row>
    <row r="513" spans="1:10" x14ac:dyDescent="0.35">
      <c r="A513">
        <v>185</v>
      </c>
      <c r="B513" s="2">
        <v>46151</v>
      </c>
      <c r="C513" t="s">
        <v>33</v>
      </c>
      <c r="D513" t="s">
        <v>20</v>
      </c>
      <c r="E513" t="s">
        <v>11</v>
      </c>
      <c r="F513">
        <v>46</v>
      </c>
      <c r="G513" s="3">
        <v>5.35</v>
      </c>
      <c r="H513" s="3">
        <v>246.1</v>
      </c>
      <c r="I513" t="s">
        <v>47</v>
      </c>
      <c r="J513" t="e">
        <f t="shared" si="7"/>
        <v>#VALUE!</v>
      </c>
    </row>
    <row r="514" spans="1:10" x14ac:dyDescent="0.35">
      <c r="A514">
        <v>571</v>
      </c>
      <c r="B514" s="2">
        <v>46151</v>
      </c>
      <c r="C514" t="s">
        <v>28</v>
      </c>
      <c r="D514" t="s">
        <v>20</v>
      </c>
      <c r="E514" t="s">
        <v>15</v>
      </c>
      <c r="F514">
        <v>72</v>
      </c>
      <c r="G514" s="3">
        <v>2.69</v>
      </c>
      <c r="H514" s="3">
        <v>193.68</v>
      </c>
      <c r="I514" t="s">
        <v>47</v>
      </c>
      <c r="J514" t="e">
        <f t="shared" ref="J514:J577" si="8">(I515-I514)/I514</f>
        <v>#VALUE!</v>
      </c>
    </row>
    <row r="515" spans="1:10" x14ac:dyDescent="0.35">
      <c r="A515">
        <v>4</v>
      </c>
      <c r="B515" s="2">
        <v>46152</v>
      </c>
      <c r="C515" t="s">
        <v>28</v>
      </c>
      <c r="D515" t="s">
        <v>20</v>
      </c>
      <c r="E515" t="s">
        <v>15</v>
      </c>
      <c r="F515">
        <v>45</v>
      </c>
      <c r="G515" s="3">
        <v>2.5499999999999998</v>
      </c>
      <c r="H515" s="3">
        <v>114.75</v>
      </c>
      <c r="I515" t="s">
        <v>47</v>
      </c>
      <c r="J515" t="e">
        <f t="shared" si="8"/>
        <v>#VALUE!</v>
      </c>
    </row>
    <row r="516" spans="1:10" x14ac:dyDescent="0.35">
      <c r="A516">
        <v>79</v>
      </c>
      <c r="B516" s="2">
        <v>46152</v>
      </c>
      <c r="C516" t="s">
        <v>23</v>
      </c>
      <c r="D516" t="s">
        <v>17</v>
      </c>
      <c r="E516" t="s">
        <v>11</v>
      </c>
      <c r="F516">
        <v>51</v>
      </c>
      <c r="G516" s="3">
        <v>6.33</v>
      </c>
      <c r="H516" s="3">
        <v>322.83</v>
      </c>
      <c r="I516" t="s">
        <v>47</v>
      </c>
      <c r="J516" t="e">
        <f t="shared" si="8"/>
        <v>#VALUE!</v>
      </c>
    </row>
    <row r="517" spans="1:10" x14ac:dyDescent="0.35">
      <c r="A517">
        <v>379</v>
      </c>
      <c r="B517" s="2">
        <v>46152</v>
      </c>
      <c r="C517" t="s">
        <v>37</v>
      </c>
      <c r="D517" t="s">
        <v>27</v>
      </c>
      <c r="E517" t="s">
        <v>11</v>
      </c>
      <c r="F517">
        <v>34</v>
      </c>
      <c r="G517" s="3">
        <v>8.0299999999999994</v>
      </c>
      <c r="H517" s="3">
        <v>273.02</v>
      </c>
      <c r="I517" t="s">
        <v>47</v>
      </c>
      <c r="J517" t="e">
        <f t="shared" si="8"/>
        <v>#VALUE!</v>
      </c>
    </row>
    <row r="518" spans="1:10" x14ac:dyDescent="0.35">
      <c r="A518">
        <v>215</v>
      </c>
      <c r="B518" s="2">
        <v>46153</v>
      </c>
      <c r="C518" t="s">
        <v>35</v>
      </c>
      <c r="D518" t="s">
        <v>17</v>
      </c>
      <c r="E518" t="s">
        <v>11</v>
      </c>
      <c r="F518">
        <v>43</v>
      </c>
      <c r="G518" s="3">
        <v>5.6</v>
      </c>
      <c r="H518" s="3">
        <v>240.8</v>
      </c>
      <c r="I518" t="s">
        <v>47</v>
      </c>
      <c r="J518" t="e">
        <f t="shared" si="8"/>
        <v>#VALUE!</v>
      </c>
    </row>
    <row r="519" spans="1:10" x14ac:dyDescent="0.35">
      <c r="A519">
        <v>510</v>
      </c>
      <c r="B519" s="2">
        <v>46153</v>
      </c>
      <c r="C519" t="s">
        <v>29</v>
      </c>
      <c r="D519" t="s">
        <v>22</v>
      </c>
      <c r="E519" t="s">
        <v>15</v>
      </c>
      <c r="F519">
        <v>48</v>
      </c>
      <c r="G519" s="3">
        <v>1.45</v>
      </c>
      <c r="H519" s="3">
        <v>69.599999999999994</v>
      </c>
      <c r="I519" t="s">
        <v>47</v>
      </c>
      <c r="J519" t="e">
        <f t="shared" si="8"/>
        <v>#VALUE!</v>
      </c>
    </row>
    <row r="520" spans="1:10" x14ac:dyDescent="0.35">
      <c r="A520">
        <v>153</v>
      </c>
      <c r="B520" s="2">
        <v>46154</v>
      </c>
      <c r="C520" t="s">
        <v>19</v>
      </c>
      <c r="D520" t="s">
        <v>20</v>
      </c>
      <c r="E520" t="s">
        <v>15</v>
      </c>
      <c r="F520">
        <v>64</v>
      </c>
      <c r="G520" s="3">
        <v>3.05</v>
      </c>
      <c r="H520" s="3">
        <v>195.2</v>
      </c>
      <c r="I520" t="s">
        <v>47</v>
      </c>
      <c r="J520" t="e">
        <f t="shared" si="8"/>
        <v>#VALUE!</v>
      </c>
    </row>
    <row r="521" spans="1:10" x14ac:dyDescent="0.35">
      <c r="A521">
        <v>338</v>
      </c>
      <c r="B521" s="2">
        <v>46154</v>
      </c>
      <c r="C521" t="s">
        <v>25</v>
      </c>
      <c r="D521" t="s">
        <v>17</v>
      </c>
      <c r="E521" t="s">
        <v>15</v>
      </c>
      <c r="F521">
        <v>27</v>
      </c>
      <c r="G521" s="3">
        <v>1.92</v>
      </c>
      <c r="H521" s="3">
        <v>51.84</v>
      </c>
      <c r="I521" t="s">
        <v>47</v>
      </c>
      <c r="J521" t="e">
        <f t="shared" si="8"/>
        <v>#VALUE!</v>
      </c>
    </row>
    <row r="522" spans="1:10" x14ac:dyDescent="0.35">
      <c r="A522">
        <v>350</v>
      </c>
      <c r="B522" s="2">
        <v>46154</v>
      </c>
      <c r="C522" t="s">
        <v>36</v>
      </c>
      <c r="D522" t="s">
        <v>14</v>
      </c>
      <c r="E522" t="s">
        <v>15</v>
      </c>
      <c r="F522">
        <v>45</v>
      </c>
      <c r="G522" s="3">
        <v>2.23</v>
      </c>
      <c r="H522" s="3">
        <v>100.35</v>
      </c>
      <c r="I522" t="s">
        <v>47</v>
      </c>
      <c r="J522" t="e">
        <f t="shared" si="8"/>
        <v>#VALUE!</v>
      </c>
    </row>
    <row r="523" spans="1:10" x14ac:dyDescent="0.35">
      <c r="A523">
        <v>417</v>
      </c>
      <c r="B523" s="2">
        <v>46154</v>
      </c>
      <c r="C523" t="s">
        <v>32</v>
      </c>
      <c r="D523" t="s">
        <v>20</v>
      </c>
      <c r="E523" t="s">
        <v>11</v>
      </c>
      <c r="F523">
        <v>58</v>
      </c>
      <c r="G523" s="3">
        <v>3.44</v>
      </c>
      <c r="H523" s="3">
        <v>199.52</v>
      </c>
      <c r="I523" t="s">
        <v>47</v>
      </c>
      <c r="J523" t="e">
        <f t="shared" si="8"/>
        <v>#VALUE!</v>
      </c>
    </row>
    <row r="524" spans="1:10" x14ac:dyDescent="0.35">
      <c r="A524">
        <v>554</v>
      </c>
      <c r="B524" s="2">
        <v>46154</v>
      </c>
      <c r="C524" t="s">
        <v>32</v>
      </c>
      <c r="D524" t="s">
        <v>20</v>
      </c>
      <c r="E524" t="s">
        <v>11</v>
      </c>
      <c r="F524">
        <v>51</v>
      </c>
      <c r="G524" s="3">
        <v>3.15</v>
      </c>
      <c r="H524" s="3">
        <v>160.65</v>
      </c>
      <c r="I524" t="s">
        <v>47</v>
      </c>
      <c r="J524" t="e">
        <f t="shared" si="8"/>
        <v>#VALUE!</v>
      </c>
    </row>
    <row r="525" spans="1:10" x14ac:dyDescent="0.35">
      <c r="A525">
        <v>47</v>
      </c>
      <c r="B525" s="2">
        <v>46155</v>
      </c>
      <c r="C525" t="s">
        <v>13</v>
      </c>
      <c r="D525" t="s">
        <v>14</v>
      </c>
      <c r="E525" t="s">
        <v>15</v>
      </c>
      <c r="F525">
        <v>55</v>
      </c>
      <c r="G525" s="3">
        <v>1.75</v>
      </c>
      <c r="H525" s="3">
        <v>96.25</v>
      </c>
      <c r="I525" t="s">
        <v>47</v>
      </c>
      <c r="J525" t="e">
        <f t="shared" si="8"/>
        <v>#VALUE!</v>
      </c>
    </row>
    <row r="526" spans="1:10" x14ac:dyDescent="0.35">
      <c r="A526">
        <v>151</v>
      </c>
      <c r="B526" s="2">
        <v>46156</v>
      </c>
      <c r="C526" t="s">
        <v>31</v>
      </c>
      <c r="D526" t="s">
        <v>14</v>
      </c>
      <c r="E526" t="s">
        <v>11</v>
      </c>
      <c r="F526">
        <v>35</v>
      </c>
      <c r="G526" s="3">
        <v>6.96</v>
      </c>
      <c r="H526" s="3">
        <v>243.6</v>
      </c>
      <c r="I526" t="s">
        <v>47</v>
      </c>
      <c r="J526" t="e">
        <f t="shared" si="8"/>
        <v>#VALUE!</v>
      </c>
    </row>
    <row r="527" spans="1:10" x14ac:dyDescent="0.35">
      <c r="A527">
        <v>287</v>
      </c>
      <c r="B527" s="2">
        <v>46156</v>
      </c>
      <c r="C527" t="s">
        <v>16</v>
      </c>
      <c r="D527" t="s">
        <v>17</v>
      </c>
      <c r="E527" t="s">
        <v>15</v>
      </c>
      <c r="F527">
        <v>87</v>
      </c>
      <c r="G527" s="3">
        <v>2.12</v>
      </c>
      <c r="H527" s="3">
        <v>184.44</v>
      </c>
      <c r="I527" t="s">
        <v>47</v>
      </c>
      <c r="J527" t="e">
        <f t="shared" si="8"/>
        <v>#VALUE!</v>
      </c>
    </row>
    <row r="528" spans="1:10" x14ac:dyDescent="0.35">
      <c r="A528">
        <v>227</v>
      </c>
      <c r="B528" s="2">
        <v>46157</v>
      </c>
      <c r="C528" t="s">
        <v>16</v>
      </c>
      <c r="D528" t="s">
        <v>17</v>
      </c>
      <c r="E528" t="s">
        <v>15</v>
      </c>
      <c r="F528">
        <v>53</v>
      </c>
      <c r="G528" s="3">
        <v>2.2000000000000002</v>
      </c>
      <c r="H528" s="3">
        <v>116.6</v>
      </c>
      <c r="I528" t="s">
        <v>47</v>
      </c>
      <c r="J528" t="e">
        <f t="shared" si="8"/>
        <v>#VALUE!</v>
      </c>
    </row>
    <row r="529" spans="1:10" x14ac:dyDescent="0.35">
      <c r="A529">
        <v>262</v>
      </c>
      <c r="B529" s="2">
        <v>46157</v>
      </c>
      <c r="C529" t="s">
        <v>24</v>
      </c>
      <c r="D529" t="s">
        <v>10</v>
      </c>
      <c r="E529" t="s">
        <v>11</v>
      </c>
      <c r="F529">
        <v>55</v>
      </c>
      <c r="G529" s="3">
        <v>14.86</v>
      </c>
      <c r="H529" s="3">
        <v>817.3</v>
      </c>
      <c r="I529" t="s">
        <v>47</v>
      </c>
      <c r="J529" t="e">
        <f t="shared" si="8"/>
        <v>#VALUE!</v>
      </c>
    </row>
    <row r="530" spans="1:10" x14ac:dyDescent="0.35">
      <c r="A530">
        <v>152</v>
      </c>
      <c r="B530" s="2">
        <v>46158</v>
      </c>
      <c r="C530" t="s">
        <v>24</v>
      </c>
      <c r="D530" t="s">
        <v>10</v>
      </c>
      <c r="E530" t="s">
        <v>11</v>
      </c>
      <c r="F530">
        <v>22</v>
      </c>
      <c r="G530" s="3">
        <v>15.71</v>
      </c>
      <c r="H530" s="3">
        <v>345.62</v>
      </c>
      <c r="I530" t="s">
        <v>47</v>
      </c>
      <c r="J530" t="e">
        <f t="shared" si="8"/>
        <v>#VALUE!</v>
      </c>
    </row>
    <row r="531" spans="1:10" x14ac:dyDescent="0.35">
      <c r="A531">
        <v>414</v>
      </c>
      <c r="B531" s="2">
        <v>46158</v>
      </c>
      <c r="C531" t="s">
        <v>29</v>
      </c>
      <c r="D531" t="s">
        <v>22</v>
      </c>
      <c r="E531" t="s">
        <v>15</v>
      </c>
      <c r="F531">
        <v>64</v>
      </c>
      <c r="G531" s="3">
        <v>1.51</v>
      </c>
      <c r="H531" s="3">
        <v>96.64</v>
      </c>
      <c r="I531" t="s">
        <v>47</v>
      </c>
      <c r="J531" t="e">
        <f t="shared" si="8"/>
        <v>#VALUE!</v>
      </c>
    </row>
    <row r="532" spans="1:10" x14ac:dyDescent="0.35">
      <c r="A532">
        <v>578</v>
      </c>
      <c r="B532" s="2">
        <v>46159</v>
      </c>
      <c r="C532" t="s">
        <v>26</v>
      </c>
      <c r="D532" t="s">
        <v>27</v>
      </c>
      <c r="E532" t="s">
        <v>15</v>
      </c>
      <c r="F532">
        <v>56</v>
      </c>
      <c r="G532" s="3">
        <v>2.48</v>
      </c>
      <c r="H532" s="3">
        <v>138.88</v>
      </c>
      <c r="I532" t="s">
        <v>47</v>
      </c>
      <c r="J532" t="e">
        <f t="shared" si="8"/>
        <v>#VALUE!</v>
      </c>
    </row>
    <row r="533" spans="1:10" x14ac:dyDescent="0.35">
      <c r="A533">
        <v>596</v>
      </c>
      <c r="B533" s="2">
        <v>46161</v>
      </c>
      <c r="C533" t="s">
        <v>32</v>
      </c>
      <c r="D533" t="s">
        <v>20</v>
      </c>
      <c r="E533" t="s">
        <v>11</v>
      </c>
      <c r="F533">
        <v>18</v>
      </c>
      <c r="G533" s="3">
        <v>3.05</v>
      </c>
      <c r="H533" s="3">
        <v>54.9</v>
      </c>
      <c r="I533" t="s">
        <v>47</v>
      </c>
      <c r="J533" t="e">
        <f t="shared" si="8"/>
        <v>#VALUE!</v>
      </c>
    </row>
    <row r="534" spans="1:10" x14ac:dyDescent="0.35">
      <c r="A534">
        <v>308</v>
      </c>
      <c r="B534" s="2">
        <v>46162</v>
      </c>
      <c r="C534" t="s">
        <v>31</v>
      </c>
      <c r="D534" t="s">
        <v>14</v>
      </c>
      <c r="E534" t="s">
        <v>11</v>
      </c>
      <c r="F534">
        <v>48</v>
      </c>
      <c r="G534" s="3">
        <v>6.45</v>
      </c>
      <c r="H534" s="3">
        <v>309.60000000000002</v>
      </c>
      <c r="I534" t="s">
        <v>47</v>
      </c>
      <c r="J534" t="e">
        <f t="shared" si="8"/>
        <v>#VALUE!</v>
      </c>
    </row>
    <row r="535" spans="1:10" x14ac:dyDescent="0.35">
      <c r="A535">
        <v>71</v>
      </c>
      <c r="B535" s="2">
        <v>46163</v>
      </c>
      <c r="C535" t="s">
        <v>28</v>
      </c>
      <c r="D535" t="s">
        <v>20</v>
      </c>
      <c r="E535" t="s">
        <v>15</v>
      </c>
      <c r="F535">
        <v>80</v>
      </c>
      <c r="G535" s="3">
        <v>2.54</v>
      </c>
      <c r="H535" s="3">
        <v>203.2</v>
      </c>
      <c r="I535" t="s">
        <v>47</v>
      </c>
      <c r="J535" t="e">
        <f t="shared" si="8"/>
        <v>#VALUE!</v>
      </c>
    </row>
    <row r="536" spans="1:10" x14ac:dyDescent="0.35">
      <c r="A536">
        <v>507</v>
      </c>
      <c r="B536" s="2">
        <v>46163</v>
      </c>
      <c r="C536" t="s">
        <v>36</v>
      </c>
      <c r="D536" t="s">
        <v>14</v>
      </c>
      <c r="E536" t="s">
        <v>15</v>
      </c>
      <c r="F536">
        <v>89</v>
      </c>
      <c r="G536" s="3">
        <v>2.13</v>
      </c>
      <c r="H536" s="3">
        <v>189.57</v>
      </c>
      <c r="I536" t="s">
        <v>47</v>
      </c>
      <c r="J536" t="e">
        <f t="shared" si="8"/>
        <v>#VALUE!</v>
      </c>
    </row>
    <row r="537" spans="1:10" x14ac:dyDescent="0.35">
      <c r="A537">
        <v>508</v>
      </c>
      <c r="B537" s="2">
        <v>46163</v>
      </c>
      <c r="C537" t="s">
        <v>37</v>
      </c>
      <c r="D537" t="s">
        <v>27</v>
      </c>
      <c r="E537" t="s">
        <v>11</v>
      </c>
      <c r="F537">
        <v>36</v>
      </c>
      <c r="G537" s="3">
        <v>8</v>
      </c>
      <c r="H537" s="3">
        <v>288</v>
      </c>
      <c r="I537" t="s">
        <v>47</v>
      </c>
      <c r="J537" t="e">
        <f t="shared" si="8"/>
        <v>#VALUE!</v>
      </c>
    </row>
    <row r="538" spans="1:10" x14ac:dyDescent="0.35">
      <c r="A538">
        <v>550</v>
      </c>
      <c r="B538" s="2">
        <v>46163</v>
      </c>
      <c r="C538" t="s">
        <v>35</v>
      </c>
      <c r="D538" t="s">
        <v>17</v>
      </c>
      <c r="E538" t="s">
        <v>11</v>
      </c>
      <c r="F538">
        <v>47</v>
      </c>
      <c r="G538" s="3">
        <v>5.45</v>
      </c>
      <c r="H538" s="3">
        <v>256.14999999999998</v>
      </c>
      <c r="I538" t="s">
        <v>47</v>
      </c>
      <c r="J538" t="e">
        <f t="shared" si="8"/>
        <v>#VALUE!</v>
      </c>
    </row>
    <row r="539" spans="1:10" x14ac:dyDescent="0.35">
      <c r="A539">
        <v>33</v>
      </c>
      <c r="B539" s="2">
        <v>46164</v>
      </c>
      <c r="C539" t="s">
        <v>28</v>
      </c>
      <c r="D539" t="s">
        <v>20</v>
      </c>
      <c r="E539" t="s">
        <v>15</v>
      </c>
      <c r="F539">
        <v>85</v>
      </c>
      <c r="G539" s="3">
        <v>2.38</v>
      </c>
      <c r="H539" s="3">
        <v>202.3</v>
      </c>
      <c r="I539" t="s">
        <v>47</v>
      </c>
      <c r="J539" t="e">
        <f t="shared" si="8"/>
        <v>#VALUE!</v>
      </c>
    </row>
    <row r="540" spans="1:10" x14ac:dyDescent="0.35">
      <c r="A540">
        <v>126</v>
      </c>
      <c r="B540" s="2">
        <v>46164</v>
      </c>
      <c r="C540" t="s">
        <v>21</v>
      </c>
      <c r="D540" t="s">
        <v>22</v>
      </c>
      <c r="E540" t="s">
        <v>11</v>
      </c>
      <c r="F540">
        <v>30</v>
      </c>
      <c r="G540" s="3">
        <v>4.9800000000000004</v>
      </c>
      <c r="H540" s="3">
        <v>149.4</v>
      </c>
      <c r="I540" t="s">
        <v>47</v>
      </c>
      <c r="J540" t="e">
        <f t="shared" si="8"/>
        <v>#VALUE!</v>
      </c>
    </row>
    <row r="541" spans="1:10" x14ac:dyDescent="0.35">
      <c r="A541">
        <v>197</v>
      </c>
      <c r="B541" s="2">
        <v>46164</v>
      </c>
      <c r="C541" t="s">
        <v>21</v>
      </c>
      <c r="D541" t="s">
        <v>22</v>
      </c>
      <c r="E541" t="s">
        <v>11</v>
      </c>
      <c r="F541">
        <v>44</v>
      </c>
      <c r="G541" s="3">
        <v>4.79</v>
      </c>
      <c r="H541" s="3">
        <v>210.76</v>
      </c>
      <c r="I541" t="s">
        <v>47</v>
      </c>
      <c r="J541" t="e">
        <f t="shared" si="8"/>
        <v>#VALUE!</v>
      </c>
    </row>
    <row r="542" spans="1:10" x14ac:dyDescent="0.35">
      <c r="A542">
        <v>427</v>
      </c>
      <c r="B542" s="2">
        <v>46165</v>
      </c>
      <c r="C542" t="s">
        <v>21</v>
      </c>
      <c r="D542" t="s">
        <v>22</v>
      </c>
      <c r="E542" t="s">
        <v>11</v>
      </c>
      <c r="F542">
        <v>39</v>
      </c>
      <c r="G542" s="3">
        <v>5.21</v>
      </c>
      <c r="H542" s="3">
        <v>203.19</v>
      </c>
      <c r="I542" t="s">
        <v>47</v>
      </c>
      <c r="J542" t="e">
        <f t="shared" si="8"/>
        <v>#VALUE!</v>
      </c>
    </row>
    <row r="543" spans="1:10" x14ac:dyDescent="0.35">
      <c r="A543">
        <v>464</v>
      </c>
      <c r="B543" s="2">
        <v>46165</v>
      </c>
      <c r="C543" t="s">
        <v>35</v>
      </c>
      <c r="D543" t="s">
        <v>17</v>
      </c>
      <c r="E543" t="s">
        <v>11</v>
      </c>
      <c r="F543">
        <v>56</v>
      </c>
      <c r="G543" s="3">
        <v>5.44</v>
      </c>
      <c r="H543" s="3">
        <v>304.64</v>
      </c>
      <c r="I543" t="s">
        <v>47</v>
      </c>
      <c r="J543" t="e">
        <f t="shared" si="8"/>
        <v>#VALUE!</v>
      </c>
    </row>
    <row r="544" spans="1:10" x14ac:dyDescent="0.35">
      <c r="A544">
        <v>155</v>
      </c>
      <c r="B544" s="2">
        <v>46166</v>
      </c>
      <c r="C544" t="s">
        <v>35</v>
      </c>
      <c r="D544" t="s">
        <v>17</v>
      </c>
      <c r="E544" t="s">
        <v>11</v>
      </c>
      <c r="F544">
        <v>49</v>
      </c>
      <c r="G544" s="3">
        <v>5.61</v>
      </c>
      <c r="H544" s="3">
        <v>274.89</v>
      </c>
      <c r="I544" t="s">
        <v>47</v>
      </c>
      <c r="J544" t="e">
        <f t="shared" si="8"/>
        <v>#VALUE!</v>
      </c>
    </row>
    <row r="545" spans="1:10" x14ac:dyDescent="0.35">
      <c r="A545">
        <v>272</v>
      </c>
      <c r="B545" s="2">
        <v>46166</v>
      </c>
      <c r="C545" t="s">
        <v>23</v>
      </c>
      <c r="D545" t="s">
        <v>17</v>
      </c>
      <c r="E545" t="s">
        <v>11</v>
      </c>
      <c r="F545">
        <v>60</v>
      </c>
      <c r="G545" s="3">
        <v>6.31</v>
      </c>
      <c r="H545" s="3">
        <v>378.6</v>
      </c>
      <c r="I545" t="s">
        <v>47</v>
      </c>
      <c r="J545" t="e">
        <f t="shared" si="8"/>
        <v>#VALUE!</v>
      </c>
    </row>
    <row r="546" spans="1:10" x14ac:dyDescent="0.35">
      <c r="A546">
        <v>7</v>
      </c>
      <c r="B546" s="2">
        <v>46167</v>
      </c>
      <c r="C546" t="s">
        <v>28</v>
      </c>
      <c r="D546" t="s">
        <v>20</v>
      </c>
      <c r="E546" t="s">
        <v>15</v>
      </c>
      <c r="F546">
        <v>56</v>
      </c>
      <c r="G546" s="3">
        <v>2.5</v>
      </c>
      <c r="H546" s="3">
        <v>140</v>
      </c>
      <c r="I546" t="s">
        <v>47</v>
      </c>
      <c r="J546" t="e">
        <f t="shared" si="8"/>
        <v>#VALUE!</v>
      </c>
    </row>
    <row r="547" spans="1:10" x14ac:dyDescent="0.35">
      <c r="A547">
        <v>188</v>
      </c>
      <c r="B547" s="2">
        <v>46168</v>
      </c>
      <c r="C547" t="s">
        <v>35</v>
      </c>
      <c r="D547" t="s">
        <v>17</v>
      </c>
      <c r="E547" t="s">
        <v>11</v>
      </c>
      <c r="F547">
        <v>28</v>
      </c>
      <c r="G547" s="3">
        <v>5.83</v>
      </c>
      <c r="H547" s="3">
        <v>163.24</v>
      </c>
      <c r="I547" t="s">
        <v>47</v>
      </c>
      <c r="J547" t="e">
        <f t="shared" si="8"/>
        <v>#VALUE!</v>
      </c>
    </row>
    <row r="548" spans="1:10" x14ac:dyDescent="0.35">
      <c r="A548">
        <v>23</v>
      </c>
      <c r="B548" s="2">
        <v>46169</v>
      </c>
      <c r="C548" t="s">
        <v>9</v>
      </c>
      <c r="D548" t="s">
        <v>10</v>
      </c>
      <c r="E548" t="s">
        <v>11</v>
      </c>
      <c r="F548">
        <v>60</v>
      </c>
      <c r="G548" s="3">
        <v>11.4</v>
      </c>
      <c r="H548" s="3">
        <v>684</v>
      </c>
      <c r="I548" t="s">
        <v>47</v>
      </c>
      <c r="J548" t="e">
        <f t="shared" si="8"/>
        <v>#VALUE!</v>
      </c>
    </row>
    <row r="549" spans="1:10" x14ac:dyDescent="0.35">
      <c r="A549">
        <v>310</v>
      </c>
      <c r="B549" s="2">
        <v>46169</v>
      </c>
      <c r="C549" t="s">
        <v>32</v>
      </c>
      <c r="D549" t="s">
        <v>20</v>
      </c>
      <c r="E549" t="s">
        <v>11</v>
      </c>
      <c r="F549">
        <v>56</v>
      </c>
      <c r="G549" s="3">
        <v>3.27</v>
      </c>
      <c r="H549" s="3">
        <v>183.12</v>
      </c>
      <c r="I549" t="s">
        <v>47</v>
      </c>
      <c r="J549" t="e">
        <f t="shared" si="8"/>
        <v>#VALUE!</v>
      </c>
    </row>
    <row r="550" spans="1:10" x14ac:dyDescent="0.35">
      <c r="A550">
        <v>488</v>
      </c>
      <c r="B550" s="2">
        <v>46170</v>
      </c>
      <c r="C550" t="s">
        <v>9</v>
      </c>
      <c r="D550" t="s">
        <v>10</v>
      </c>
      <c r="E550" t="s">
        <v>11</v>
      </c>
      <c r="F550">
        <v>17</v>
      </c>
      <c r="G550" s="3">
        <v>12.51</v>
      </c>
      <c r="H550" s="3">
        <v>212.67</v>
      </c>
      <c r="I550" t="s">
        <v>47</v>
      </c>
      <c r="J550" t="e">
        <f t="shared" si="8"/>
        <v>#VALUE!</v>
      </c>
    </row>
    <row r="551" spans="1:10" x14ac:dyDescent="0.35">
      <c r="A551">
        <v>377</v>
      </c>
      <c r="B551" s="2">
        <v>46171</v>
      </c>
      <c r="C551" t="s">
        <v>32</v>
      </c>
      <c r="D551" t="s">
        <v>20</v>
      </c>
      <c r="E551" t="s">
        <v>11</v>
      </c>
      <c r="F551">
        <v>38</v>
      </c>
      <c r="G551" s="3">
        <v>3.07</v>
      </c>
      <c r="H551" s="3">
        <v>116.66</v>
      </c>
      <c r="I551" t="s">
        <v>47</v>
      </c>
      <c r="J551" t="e">
        <f t="shared" si="8"/>
        <v>#VALUE!</v>
      </c>
    </row>
    <row r="552" spans="1:10" x14ac:dyDescent="0.35">
      <c r="A552">
        <v>120</v>
      </c>
      <c r="B552" s="2">
        <v>46173</v>
      </c>
      <c r="C552" t="s">
        <v>18</v>
      </c>
      <c r="D552" t="s">
        <v>10</v>
      </c>
      <c r="E552" t="s">
        <v>15</v>
      </c>
      <c r="F552">
        <v>67</v>
      </c>
      <c r="G552" s="3">
        <v>6.44</v>
      </c>
      <c r="H552" s="3">
        <v>431.48</v>
      </c>
      <c r="I552" t="s">
        <v>47</v>
      </c>
      <c r="J552" t="e">
        <f t="shared" si="8"/>
        <v>#VALUE!</v>
      </c>
    </row>
    <row r="553" spans="1:10" x14ac:dyDescent="0.35">
      <c r="A553">
        <v>546</v>
      </c>
      <c r="B553" s="2">
        <v>46173</v>
      </c>
      <c r="C553" t="s">
        <v>32</v>
      </c>
      <c r="D553" t="s">
        <v>20</v>
      </c>
      <c r="E553" t="s">
        <v>11</v>
      </c>
      <c r="F553">
        <v>27</v>
      </c>
      <c r="G553" s="3">
        <v>3.36</v>
      </c>
      <c r="H553" s="3">
        <v>90.72</v>
      </c>
      <c r="I553" t="s">
        <v>47</v>
      </c>
      <c r="J553" t="e">
        <f t="shared" si="8"/>
        <v>#VALUE!</v>
      </c>
    </row>
    <row r="554" spans="1:10" x14ac:dyDescent="0.35">
      <c r="A554">
        <v>73</v>
      </c>
      <c r="B554" s="2">
        <v>46174</v>
      </c>
      <c r="C554" t="s">
        <v>28</v>
      </c>
      <c r="D554" t="s">
        <v>20</v>
      </c>
      <c r="E554" t="s">
        <v>15</v>
      </c>
      <c r="F554">
        <v>66</v>
      </c>
      <c r="G554" s="3">
        <v>2.56</v>
      </c>
      <c r="H554" s="3">
        <v>168.96</v>
      </c>
      <c r="I554" t="s">
        <v>48</v>
      </c>
      <c r="J554" t="e">
        <f t="shared" si="8"/>
        <v>#VALUE!</v>
      </c>
    </row>
    <row r="555" spans="1:10" x14ac:dyDescent="0.35">
      <c r="A555">
        <v>440</v>
      </c>
      <c r="B555" s="2">
        <v>46174</v>
      </c>
      <c r="C555" t="s">
        <v>36</v>
      </c>
      <c r="D555" t="s">
        <v>14</v>
      </c>
      <c r="E555" t="s">
        <v>15</v>
      </c>
      <c r="F555">
        <v>22</v>
      </c>
      <c r="G555" s="3">
        <v>2.35</v>
      </c>
      <c r="H555" s="3">
        <v>51.7</v>
      </c>
      <c r="I555" t="s">
        <v>48</v>
      </c>
      <c r="J555" t="e">
        <f t="shared" si="8"/>
        <v>#VALUE!</v>
      </c>
    </row>
    <row r="556" spans="1:10" x14ac:dyDescent="0.35">
      <c r="A556">
        <v>206</v>
      </c>
      <c r="B556" s="2">
        <v>46175</v>
      </c>
      <c r="C556" t="s">
        <v>19</v>
      </c>
      <c r="D556" t="s">
        <v>20</v>
      </c>
      <c r="E556" t="s">
        <v>15</v>
      </c>
      <c r="F556">
        <v>57</v>
      </c>
      <c r="G556" s="3">
        <v>3.09</v>
      </c>
      <c r="H556" s="3">
        <v>176.13</v>
      </c>
      <c r="I556" t="s">
        <v>48</v>
      </c>
      <c r="J556" t="e">
        <f t="shared" si="8"/>
        <v>#VALUE!</v>
      </c>
    </row>
    <row r="557" spans="1:10" x14ac:dyDescent="0.35">
      <c r="A557">
        <v>529</v>
      </c>
      <c r="B557" s="2">
        <v>46175</v>
      </c>
      <c r="C557" t="s">
        <v>18</v>
      </c>
      <c r="D557" t="s">
        <v>10</v>
      </c>
      <c r="E557" t="s">
        <v>15</v>
      </c>
      <c r="F557">
        <v>52</v>
      </c>
      <c r="G557" s="3">
        <v>6.1</v>
      </c>
      <c r="H557" s="3">
        <v>317.2</v>
      </c>
      <c r="I557" t="s">
        <v>48</v>
      </c>
      <c r="J557" t="e">
        <f t="shared" si="8"/>
        <v>#VALUE!</v>
      </c>
    </row>
    <row r="558" spans="1:10" x14ac:dyDescent="0.35">
      <c r="A558">
        <v>42</v>
      </c>
      <c r="B558" s="2">
        <v>46176</v>
      </c>
      <c r="C558" t="s">
        <v>25</v>
      </c>
      <c r="D558" t="s">
        <v>17</v>
      </c>
      <c r="E558" t="s">
        <v>15</v>
      </c>
      <c r="F558">
        <v>52</v>
      </c>
      <c r="G558" s="3">
        <v>2.0699999999999998</v>
      </c>
      <c r="H558" s="3">
        <v>107.64</v>
      </c>
      <c r="I558" t="s">
        <v>48</v>
      </c>
      <c r="J558" t="e">
        <f t="shared" si="8"/>
        <v>#VALUE!</v>
      </c>
    </row>
    <row r="559" spans="1:10" x14ac:dyDescent="0.35">
      <c r="A559">
        <v>452</v>
      </c>
      <c r="B559" s="2">
        <v>46176</v>
      </c>
      <c r="C559" t="s">
        <v>23</v>
      </c>
      <c r="D559" t="s">
        <v>17</v>
      </c>
      <c r="E559" t="s">
        <v>11</v>
      </c>
      <c r="F559">
        <v>37</v>
      </c>
      <c r="G559" s="3">
        <v>6.18</v>
      </c>
      <c r="H559" s="3">
        <v>228.66</v>
      </c>
      <c r="I559" t="s">
        <v>48</v>
      </c>
      <c r="J559" t="e">
        <f t="shared" si="8"/>
        <v>#VALUE!</v>
      </c>
    </row>
    <row r="560" spans="1:10" x14ac:dyDescent="0.35">
      <c r="A560">
        <v>552</v>
      </c>
      <c r="B560" s="2">
        <v>46176</v>
      </c>
      <c r="C560" t="s">
        <v>26</v>
      </c>
      <c r="D560" t="s">
        <v>27</v>
      </c>
      <c r="E560" t="s">
        <v>15</v>
      </c>
      <c r="F560">
        <v>58</v>
      </c>
      <c r="G560" s="3">
        <v>2.5099999999999998</v>
      </c>
      <c r="H560" s="3">
        <v>145.58000000000001</v>
      </c>
      <c r="I560" t="s">
        <v>48</v>
      </c>
      <c r="J560" t="e">
        <f t="shared" si="8"/>
        <v>#VALUE!</v>
      </c>
    </row>
    <row r="561" spans="1:10" x14ac:dyDescent="0.35">
      <c r="A561">
        <v>86</v>
      </c>
      <c r="B561" s="2">
        <v>46177</v>
      </c>
      <c r="C561" t="s">
        <v>32</v>
      </c>
      <c r="D561" t="s">
        <v>20</v>
      </c>
      <c r="E561" t="s">
        <v>11</v>
      </c>
      <c r="F561">
        <v>42</v>
      </c>
      <c r="G561" s="3">
        <v>3.08</v>
      </c>
      <c r="H561" s="3">
        <v>129.36000000000001</v>
      </c>
      <c r="I561" t="s">
        <v>48</v>
      </c>
      <c r="J561" t="e">
        <f t="shared" si="8"/>
        <v>#VALUE!</v>
      </c>
    </row>
    <row r="562" spans="1:10" x14ac:dyDescent="0.35">
      <c r="A562">
        <v>491</v>
      </c>
      <c r="B562" s="2">
        <v>46178</v>
      </c>
      <c r="C562" t="s">
        <v>13</v>
      </c>
      <c r="D562" t="s">
        <v>14</v>
      </c>
      <c r="E562" t="s">
        <v>15</v>
      </c>
      <c r="F562">
        <v>74</v>
      </c>
      <c r="G562" s="3">
        <v>1.87</v>
      </c>
      <c r="H562" s="3">
        <v>138.38</v>
      </c>
      <c r="I562" t="s">
        <v>48</v>
      </c>
      <c r="J562" t="e">
        <f t="shared" si="8"/>
        <v>#VALUE!</v>
      </c>
    </row>
    <row r="563" spans="1:10" x14ac:dyDescent="0.35">
      <c r="A563">
        <v>58</v>
      </c>
      <c r="B563" s="2">
        <v>46180</v>
      </c>
      <c r="C563" t="s">
        <v>29</v>
      </c>
      <c r="D563" t="s">
        <v>22</v>
      </c>
      <c r="E563" t="s">
        <v>15</v>
      </c>
      <c r="F563">
        <v>47</v>
      </c>
      <c r="G563" s="3">
        <v>1.53</v>
      </c>
      <c r="H563" s="3">
        <v>71.91</v>
      </c>
      <c r="I563" t="s">
        <v>48</v>
      </c>
      <c r="J563" t="e">
        <f t="shared" si="8"/>
        <v>#VALUE!</v>
      </c>
    </row>
    <row r="564" spans="1:10" x14ac:dyDescent="0.35">
      <c r="A564">
        <v>84</v>
      </c>
      <c r="B564" s="2">
        <v>46180</v>
      </c>
      <c r="C564" t="s">
        <v>9</v>
      </c>
      <c r="D564" t="s">
        <v>10</v>
      </c>
      <c r="E564" t="s">
        <v>11</v>
      </c>
      <c r="F564">
        <v>61</v>
      </c>
      <c r="G564" s="3">
        <v>12.01</v>
      </c>
      <c r="H564" s="3">
        <v>732.61</v>
      </c>
      <c r="I564" t="s">
        <v>48</v>
      </c>
      <c r="J564" t="e">
        <f t="shared" si="8"/>
        <v>#VALUE!</v>
      </c>
    </row>
    <row r="565" spans="1:10" x14ac:dyDescent="0.35">
      <c r="A565">
        <v>29</v>
      </c>
      <c r="B565" s="2">
        <v>46181</v>
      </c>
      <c r="C565" t="s">
        <v>30</v>
      </c>
      <c r="D565" t="s">
        <v>14</v>
      </c>
      <c r="E565" t="s">
        <v>11</v>
      </c>
      <c r="F565">
        <v>70</v>
      </c>
      <c r="G565" s="3">
        <v>4.59</v>
      </c>
      <c r="H565" s="3">
        <v>321.3</v>
      </c>
      <c r="I565" t="s">
        <v>48</v>
      </c>
      <c r="J565" t="e">
        <f t="shared" si="8"/>
        <v>#VALUE!</v>
      </c>
    </row>
    <row r="566" spans="1:10" x14ac:dyDescent="0.35">
      <c r="A566">
        <v>456</v>
      </c>
      <c r="B566" s="2">
        <v>46181</v>
      </c>
      <c r="C566" t="s">
        <v>25</v>
      </c>
      <c r="D566" t="s">
        <v>17</v>
      </c>
      <c r="E566" t="s">
        <v>15</v>
      </c>
      <c r="F566">
        <v>64</v>
      </c>
      <c r="G566" s="3">
        <v>2.0299999999999998</v>
      </c>
      <c r="H566" s="3">
        <v>129.91999999999999</v>
      </c>
      <c r="I566" t="s">
        <v>48</v>
      </c>
      <c r="J566" t="e">
        <f t="shared" si="8"/>
        <v>#VALUE!</v>
      </c>
    </row>
    <row r="567" spans="1:10" x14ac:dyDescent="0.35">
      <c r="A567">
        <v>176</v>
      </c>
      <c r="B567" s="2">
        <v>46182</v>
      </c>
      <c r="C567" t="s">
        <v>36</v>
      </c>
      <c r="D567" t="s">
        <v>14</v>
      </c>
      <c r="E567" t="s">
        <v>15</v>
      </c>
      <c r="F567">
        <v>27</v>
      </c>
      <c r="G567" s="3">
        <v>2.2599999999999998</v>
      </c>
      <c r="H567" s="3">
        <v>61.02</v>
      </c>
      <c r="I567" t="s">
        <v>48</v>
      </c>
      <c r="J567" t="e">
        <f t="shared" si="8"/>
        <v>#VALUE!</v>
      </c>
    </row>
    <row r="568" spans="1:10" x14ac:dyDescent="0.35">
      <c r="A568">
        <v>462</v>
      </c>
      <c r="B568" s="2">
        <v>46182</v>
      </c>
      <c r="C568" t="s">
        <v>26</v>
      </c>
      <c r="D568" t="s">
        <v>27</v>
      </c>
      <c r="E568" t="s">
        <v>15</v>
      </c>
      <c r="F568">
        <v>80</v>
      </c>
      <c r="G568" s="3">
        <v>2.4700000000000002</v>
      </c>
      <c r="H568" s="3">
        <v>197.6</v>
      </c>
      <c r="I568" t="s">
        <v>48</v>
      </c>
      <c r="J568" t="e">
        <f t="shared" si="8"/>
        <v>#VALUE!</v>
      </c>
    </row>
    <row r="569" spans="1:10" x14ac:dyDescent="0.35">
      <c r="A569">
        <v>329</v>
      </c>
      <c r="B569" s="2">
        <v>46183</v>
      </c>
      <c r="C569" t="s">
        <v>34</v>
      </c>
      <c r="D569" t="s">
        <v>10</v>
      </c>
      <c r="E569" t="s">
        <v>15</v>
      </c>
      <c r="F569">
        <v>50</v>
      </c>
      <c r="G569" s="3">
        <v>3.88</v>
      </c>
      <c r="H569" s="3">
        <v>194</v>
      </c>
      <c r="I569" t="s">
        <v>48</v>
      </c>
      <c r="J569" t="e">
        <f t="shared" si="8"/>
        <v>#VALUE!</v>
      </c>
    </row>
    <row r="570" spans="1:10" x14ac:dyDescent="0.35">
      <c r="A570">
        <v>8</v>
      </c>
      <c r="B570" s="2">
        <v>46184</v>
      </c>
      <c r="C570" t="s">
        <v>25</v>
      </c>
      <c r="D570" t="s">
        <v>17</v>
      </c>
      <c r="E570" t="s">
        <v>15</v>
      </c>
      <c r="F570">
        <v>66</v>
      </c>
      <c r="G570" s="3">
        <v>2.0099999999999998</v>
      </c>
      <c r="H570" s="3">
        <v>132.66</v>
      </c>
      <c r="I570" t="s">
        <v>48</v>
      </c>
      <c r="J570" t="e">
        <f t="shared" si="8"/>
        <v>#VALUE!</v>
      </c>
    </row>
    <row r="571" spans="1:10" x14ac:dyDescent="0.35">
      <c r="A571">
        <v>37</v>
      </c>
      <c r="B571" s="2">
        <v>46184</v>
      </c>
      <c r="C571" t="s">
        <v>16</v>
      </c>
      <c r="D571" t="s">
        <v>17</v>
      </c>
      <c r="E571" t="s">
        <v>15</v>
      </c>
      <c r="F571">
        <v>26</v>
      </c>
      <c r="G571" s="3">
        <v>2.12</v>
      </c>
      <c r="H571" s="3">
        <v>55.12</v>
      </c>
      <c r="I571" t="s">
        <v>48</v>
      </c>
      <c r="J571" t="e">
        <f t="shared" si="8"/>
        <v>#VALUE!</v>
      </c>
    </row>
    <row r="572" spans="1:10" x14ac:dyDescent="0.35">
      <c r="A572">
        <v>175</v>
      </c>
      <c r="B572" s="2">
        <v>46185</v>
      </c>
      <c r="C572" t="s">
        <v>16</v>
      </c>
      <c r="D572" t="s">
        <v>17</v>
      </c>
      <c r="E572" t="s">
        <v>15</v>
      </c>
      <c r="F572">
        <v>63</v>
      </c>
      <c r="G572" s="3">
        <v>2.14</v>
      </c>
      <c r="H572" s="3">
        <v>134.82</v>
      </c>
      <c r="I572" t="s">
        <v>48</v>
      </c>
      <c r="J572" t="e">
        <f t="shared" si="8"/>
        <v>#VALUE!</v>
      </c>
    </row>
    <row r="573" spans="1:10" x14ac:dyDescent="0.35">
      <c r="A573">
        <v>115</v>
      </c>
      <c r="B573" s="2">
        <v>46186</v>
      </c>
      <c r="C573" t="s">
        <v>28</v>
      </c>
      <c r="D573" t="s">
        <v>20</v>
      </c>
      <c r="E573" t="s">
        <v>15</v>
      </c>
      <c r="F573">
        <v>5</v>
      </c>
      <c r="G573" s="3">
        <v>2.65</v>
      </c>
      <c r="H573" s="3">
        <v>13.25</v>
      </c>
      <c r="I573" t="s">
        <v>48</v>
      </c>
      <c r="J573" t="e">
        <f t="shared" si="8"/>
        <v>#VALUE!</v>
      </c>
    </row>
    <row r="574" spans="1:10" x14ac:dyDescent="0.35">
      <c r="A574">
        <v>219</v>
      </c>
      <c r="B574" s="2">
        <v>46187</v>
      </c>
      <c r="C574" t="s">
        <v>23</v>
      </c>
      <c r="D574" t="s">
        <v>17</v>
      </c>
      <c r="E574" t="s">
        <v>11</v>
      </c>
      <c r="F574">
        <v>49</v>
      </c>
      <c r="G574" s="3">
        <v>5.88</v>
      </c>
      <c r="H574" s="3">
        <v>288.12</v>
      </c>
      <c r="I574" t="s">
        <v>48</v>
      </c>
      <c r="J574" t="e">
        <f t="shared" si="8"/>
        <v>#VALUE!</v>
      </c>
    </row>
    <row r="575" spans="1:10" x14ac:dyDescent="0.35">
      <c r="A575">
        <v>228</v>
      </c>
      <c r="B575" s="2">
        <v>46187</v>
      </c>
      <c r="C575" t="s">
        <v>21</v>
      </c>
      <c r="D575" t="s">
        <v>22</v>
      </c>
      <c r="E575" t="s">
        <v>11</v>
      </c>
      <c r="F575">
        <v>45</v>
      </c>
      <c r="G575" s="3">
        <v>4.9000000000000004</v>
      </c>
      <c r="H575" s="3">
        <v>220.5</v>
      </c>
      <c r="I575" t="s">
        <v>48</v>
      </c>
      <c r="J575" t="e">
        <f t="shared" si="8"/>
        <v>#VALUE!</v>
      </c>
    </row>
    <row r="576" spans="1:10" x14ac:dyDescent="0.35">
      <c r="A576">
        <v>239</v>
      </c>
      <c r="B576" s="2">
        <v>46187</v>
      </c>
      <c r="C576" t="s">
        <v>24</v>
      </c>
      <c r="D576" t="s">
        <v>10</v>
      </c>
      <c r="E576" t="s">
        <v>11</v>
      </c>
      <c r="F576">
        <v>68</v>
      </c>
      <c r="G576" s="3">
        <v>15.35</v>
      </c>
      <c r="H576" s="3">
        <v>1043.8</v>
      </c>
      <c r="I576" t="s">
        <v>48</v>
      </c>
      <c r="J576" t="e">
        <f t="shared" si="8"/>
        <v>#VALUE!</v>
      </c>
    </row>
    <row r="577" spans="1:10" x14ac:dyDescent="0.35">
      <c r="A577">
        <v>549</v>
      </c>
      <c r="B577" s="2">
        <v>46187</v>
      </c>
      <c r="C577" t="s">
        <v>13</v>
      </c>
      <c r="D577" t="s">
        <v>14</v>
      </c>
      <c r="E577" t="s">
        <v>15</v>
      </c>
      <c r="F577">
        <v>49</v>
      </c>
      <c r="G577" s="3">
        <v>1.91</v>
      </c>
      <c r="H577" s="3">
        <v>93.59</v>
      </c>
      <c r="I577" t="s">
        <v>48</v>
      </c>
      <c r="J577" t="e">
        <f t="shared" si="8"/>
        <v>#VALUE!</v>
      </c>
    </row>
    <row r="578" spans="1:10" x14ac:dyDescent="0.35">
      <c r="A578">
        <v>598</v>
      </c>
      <c r="B578" s="2">
        <v>46187</v>
      </c>
      <c r="C578" t="s">
        <v>16</v>
      </c>
      <c r="D578" t="s">
        <v>17</v>
      </c>
      <c r="E578" t="s">
        <v>15</v>
      </c>
      <c r="F578">
        <v>29</v>
      </c>
      <c r="G578" s="3">
        <v>2.21</v>
      </c>
      <c r="H578" s="3">
        <v>64.09</v>
      </c>
      <c r="I578" t="s">
        <v>48</v>
      </c>
      <c r="J578" t="e">
        <f t="shared" ref="J578:J601" si="9">(I579-I578)/I578</f>
        <v>#VALUE!</v>
      </c>
    </row>
    <row r="579" spans="1:10" x14ac:dyDescent="0.35">
      <c r="A579">
        <v>140</v>
      </c>
      <c r="B579" s="2">
        <v>46188</v>
      </c>
      <c r="C579" t="s">
        <v>32</v>
      </c>
      <c r="D579" t="s">
        <v>20</v>
      </c>
      <c r="E579" t="s">
        <v>11</v>
      </c>
      <c r="F579">
        <v>22</v>
      </c>
      <c r="G579" s="3">
        <v>3.38</v>
      </c>
      <c r="H579" s="3">
        <v>74.36</v>
      </c>
      <c r="I579" t="s">
        <v>48</v>
      </c>
      <c r="J579" t="e">
        <f t="shared" si="9"/>
        <v>#VALUE!</v>
      </c>
    </row>
    <row r="580" spans="1:10" x14ac:dyDescent="0.35">
      <c r="A580">
        <v>322</v>
      </c>
      <c r="B580" s="2">
        <v>46188</v>
      </c>
      <c r="C580" t="s">
        <v>32</v>
      </c>
      <c r="D580" t="s">
        <v>20</v>
      </c>
      <c r="E580" t="s">
        <v>11</v>
      </c>
      <c r="F580">
        <v>43</v>
      </c>
      <c r="G580" s="3">
        <v>3.4</v>
      </c>
      <c r="H580" s="3">
        <v>146.19999999999999</v>
      </c>
      <c r="I580" t="s">
        <v>48</v>
      </c>
      <c r="J580" t="e">
        <f t="shared" si="9"/>
        <v>#VALUE!</v>
      </c>
    </row>
    <row r="581" spans="1:10" x14ac:dyDescent="0.35">
      <c r="A581">
        <v>524</v>
      </c>
      <c r="B581" s="2">
        <v>46190</v>
      </c>
      <c r="C581" t="s">
        <v>16</v>
      </c>
      <c r="D581" t="s">
        <v>17</v>
      </c>
      <c r="E581" t="s">
        <v>15</v>
      </c>
      <c r="F581">
        <v>54</v>
      </c>
      <c r="G581" s="3">
        <v>2.2000000000000002</v>
      </c>
      <c r="H581" s="3">
        <v>118.8</v>
      </c>
      <c r="I581" t="s">
        <v>48</v>
      </c>
      <c r="J581" t="e">
        <f t="shared" si="9"/>
        <v>#VALUE!</v>
      </c>
    </row>
    <row r="582" spans="1:10" x14ac:dyDescent="0.35">
      <c r="A582">
        <v>501</v>
      </c>
      <c r="B582" s="2">
        <v>46192</v>
      </c>
      <c r="C582" t="s">
        <v>29</v>
      </c>
      <c r="D582" t="s">
        <v>22</v>
      </c>
      <c r="E582" t="s">
        <v>15</v>
      </c>
      <c r="F582">
        <v>81</v>
      </c>
      <c r="G582" s="3">
        <v>1.44</v>
      </c>
      <c r="H582" s="3">
        <v>116.64</v>
      </c>
      <c r="I582" t="s">
        <v>48</v>
      </c>
      <c r="J582" t="e">
        <f t="shared" si="9"/>
        <v>#VALUE!</v>
      </c>
    </row>
    <row r="583" spans="1:10" x14ac:dyDescent="0.35">
      <c r="A583">
        <v>521</v>
      </c>
      <c r="B583" s="2">
        <v>46192</v>
      </c>
      <c r="C583" t="s">
        <v>36</v>
      </c>
      <c r="D583" t="s">
        <v>14</v>
      </c>
      <c r="E583" t="s">
        <v>15</v>
      </c>
      <c r="F583">
        <v>45</v>
      </c>
      <c r="G583" s="3">
        <v>2.2999999999999998</v>
      </c>
      <c r="H583" s="3">
        <v>103.5</v>
      </c>
      <c r="I583" t="s">
        <v>48</v>
      </c>
      <c r="J583" t="e">
        <f t="shared" si="9"/>
        <v>#VALUE!</v>
      </c>
    </row>
    <row r="584" spans="1:10" x14ac:dyDescent="0.35">
      <c r="A584">
        <v>55</v>
      </c>
      <c r="B584" s="2">
        <v>46193</v>
      </c>
      <c r="C584" t="s">
        <v>18</v>
      </c>
      <c r="D584" t="s">
        <v>10</v>
      </c>
      <c r="E584" t="s">
        <v>15</v>
      </c>
      <c r="F584">
        <v>55</v>
      </c>
      <c r="G584" s="3">
        <v>6.09</v>
      </c>
      <c r="H584" s="3">
        <v>334.95</v>
      </c>
      <c r="I584" t="s">
        <v>48</v>
      </c>
      <c r="J584" t="e">
        <f t="shared" si="9"/>
        <v>#VALUE!</v>
      </c>
    </row>
    <row r="585" spans="1:10" x14ac:dyDescent="0.35">
      <c r="A585">
        <v>481</v>
      </c>
      <c r="B585" s="2">
        <v>46193</v>
      </c>
      <c r="C585" t="s">
        <v>29</v>
      </c>
      <c r="D585" t="s">
        <v>22</v>
      </c>
      <c r="E585" t="s">
        <v>15</v>
      </c>
      <c r="F585">
        <v>31</v>
      </c>
      <c r="G585" s="3">
        <v>1.54</v>
      </c>
      <c r="H585" s="3">
        <v>47.74</v>
      </c>
      <c r="I585" t="s">
        <v>48</v>
      </c>
      <c r="J585" t="e">
        <f t="shared" si="9"/>
        <v>#VALUE!</v>
      </c>
    </row>
    <row r="586" spans="1:10" x14ac:dyDescent="0.35">
      <c r="A586">
        <v>276</v>
      </c>
      <c r="B586" s="2">
        <v>46194</v>
      </c>
      <c r="C586" t="s">
        <v>19</v>
      </c>
      <c r="D586" t="s">
        <v>20</v>
      </c>
      <c r="E586" t="s">
        <v>15</v>
      </c>
      <c r="F586">
        <v>62</v>
      </c>
      <c r="G586" s="3">
        <v>3.16</v>
      </c>
      <c r="H586" s="3">
        <v>195.92</v>
      </c>
      <c r="I586" t="s">
        <v>48</v>
      </c>
      <c r="J586" t="e">
        <f t="shared" si="9"/>
        <v>#VALUE!</v>
      </c>
    </row>
    <row r="587" spans="1:10" x14ac:dyDescent="0.35">
      <c r="A587">
        <v>537</v>
      </c>
      <c r="B587" s="2">
        <v>46196</v>
      </c>
      <c r="C587" t="s">
        <v>30</v>
      </c>
      <c r="D587" t="s">
        <v>14</v>
      </c>
      <c r="E587" t="s">
        <v>11</v>
      </c>
      <c r="F587">
        <v>46</v>
      </c>
      <c r="G587" s="3">
        <v>4.83</v>
      </c>
      <c r="H587" s="3">
        <v>222.18</v>
      </c>
      <c r="I587" t="s">
        <v>48</v>
      </c>
      <c r="J587" t="e">
        <f t="shared" si="9"/>
        <v>#VALUE!</v>
      </c>
    </row>
    <row r="588" spans="1:10" x14ac:dyDescent="0.35">
      <c r="A588">
        <v>3</v>
      </c>
      <c r="B588" s="2">
        <v>46198</v>
      </c>
      <c r="C588" t="s">
        <v>28</v>
      </c>
      <c r="D588" t="s">
        <v>20</v>
      </c>
      <c r="E588" t="s">
        <v>15</v>
      </c>
      <c r="F588">
        <v>44</v>
      </c>
      <c r="G588" s="3">
        <v>2.4300000000000002</v>
      </c>
      <c r="H588" s="3">
        <v>106.92</v>
      </c>
      <c r="I588" t="s">
        <v>48</v>
      </c>
      <c r="J588" t="e">
        <f t="shared" si="9"/>
        <v>#VALUE!</v>
      </c>
    </row>
    <row r="589" spans="1:10" x14ac:dyDescent="0.35">
      <c r="A589">
        <v>247</v>
      </c>
      <c r="B589" s="2">
        <v>46198</v>
      </c>
      <c r="C589" t="s">
        <v>23</v>
      </c>
      <c r="D589" t="s">
        <v>17</v>
      </c>
      <c r="E589" t="s">
        <v>11</v>
      </c>
      <c r="F589">
        <v>71</v>
      </c>
      <c r="G589" s="3">
        <v>5.78</v>
      </c>
      <c r="H589" s="3">
        <v>410.38</v>
      </c>
      <c r="I589" t="s">
        <v>48</v>
      </c>
      <c r="J589" t="e">
        <f t="shared" si="9"/>
        <v>#VALUE!</v>
      </c>
    </row>
    <row r="590" spans="1:10" x14ac:dyDescent="0.35">
      <c r="A590">
        <v>291</v>
      </c>
      <c r="B590" s="2">
        <v>46199</v>
      </c>
      <c r="C590" t="s">
        <v>29</v>
      </c>
      <c r="D590" t="s">
        <v>22</v>
      </c>
      <c r="E590" t="s">
        <v>15</v>
      </c>
      <c r="F590">
        <v>65</v>
      </c>
      <c r="G590" s="3">
        <v>1.47</v>
      </c>
      <c r="H590" s="3">
        <v>95.55</v>
      </c>
      <c r="I590" t="s">
        <v>48</v>
      </c>
      <c r="J590" t="e">
        <f t="shared" si="9"/>
        <v>#VALUE!</v>
      </c>
    </row>
    <row r="591" spans="1:10" x14ac:dyDescent="0.35">
      <c r="A591">
        <v>478</v>
      </c>
      <c r="B591" s="2">
        <v>46199</v>
      </c>
      <c r="C591" t="s">
        <v>13</v>
      </c>
      <c r="D591" t="s">
        <v>14</v>
      </c>
      <c r="E591" t="s">
        <v>15</v>
      </c>
      <c r="F591">
        <v>38</v>
      </c>
      <c r="G591" s="3">
        <v>1.81</v>
      </c>
      <c r="H591" s="3">
        <v>68.78</v>
      </c>
      <c r="I591" t="s">
        <v>48</v>
      </c>
      <c r="J591" t="e">
        <f t="shared" si="9"/>
        <v>#VALUE!</v>
      </c>
    </row>
    <row r="592" spans="1:10" x14ac:dyDescent="0.35">
      <c r="A592">
        <v>199</v>
      </c>
      <c r="B592" s="2">
        <v>46200</v>
      </c>
      <c r="C592" t="s">
        <v>35</v>
      </c>
      <c r="D592" t="s">
        <v>17</v>
      </c>
      <c r="E592" t="s">
        <v>11</v>
      </c>
      <c r="F592">
        <v>57</v>
      </c>
      <c r="G592" s="3">
        <v>5.58</v>
      </c>
      <c r="H592" s="3">
        <v>318.06</v>
      </c>
      <c r="I592" t="s">
        <v>48</v>
      </c>
      <c r="J592" t="e">
        <f t="shared" si="9"/>
        <v>#VALUE!</v>
      </c>
    </row>
    <row r="593" spans="1:10" x14ac:dyDescent="0.35">
      <c r="A593">
        <v>480</v>
      </c>
      <c r="B593" s="2">
        <v>46200</v>
      </c>
      <c r="C593" t="s">
        <v>29</v>
      </c>
      <c r="D593" t="s">
        <v>22</v>
      </c>
      <c r="E593" t="s">
        <v>15</v>
      </c>
      <c r="F593">
        <v>54</v>
      </c>
      <c r="G593" s="3">
        <v>1.52</v>
      </c>
      <c r="H593" s="3">
        <v>82.08</v>
      </c>
      <c r="I593" t="s">
        <v>48</v>
      </c>
      <c r="J593" t="e">
        <f t="shared" si="9"/>
        <v>#VALUE!</v>
      </c>
    </row>
    <row r="594" spans="1:10" x14ac:dyDescent="0.35">
      <c r="A594">
        <v>577</v>
      </c>
      <c r="B594" s="2">
        <v>46200</v>
      </c>
      <c r="C594" t="s">
        <v>30</v>
      </c>
      <c r="D594" t="s">
        <v>14</v>
      </c>
      <c r="E594" t="s">
        <v>11</v>
      </c>
      <c r="F594">
        <v>61</v>
      </c>
      <c r="G594" s="3">
        <v>4.37</v>
      </c>
      <c r="H594" s="3">
        <v>266.57</v>
      </c>
      <c r="I594" t="s">
        <v>48</v>
      </c>
      <c r="J594" t="e">
        <f t="shared" si="9"/>
        <v>#VALUE!</v>
      </c>
    </row>
    <row r="595" spans="1:10" x14ac:dyDescent="0.35">
      <c r="A595">
        <v>441</v>
      </c>
      <c r="B595" s="2">
        <v>46201</v>
      </c>
      <c r="C595" t="s">
        <v>29</v>
      </c>
      <c r="D595" t="s">
        <v>22</v>
      </c>
      <c r="E595" t="s">
        <v>15</v>
      </c>
      <c r="F595">
        <v>47</v>
      </c>
      <c r="G595" s="3">
        <v>1.5</v>
      </c>
      <c r="H595" s="3">
        <v>70.5</v>
      </c>
      <c r="I595" t="s">
        <v>48</v>
      </c>
      <c r="J595" t="e">
        <f t="shared" si="9"/>
        <v>#VALUE!</v>
      </c>
    </row>
    <row r="596" spans="1:10" x14ac:dyDescent="0.35">
      <c r="A596">
        <v>193</v>
      </c>
      <c r="B596" s="2">
        <v>46202</v>
      </c>
      <c r="C596" t="s">
        <v>18</v>
      </c>
      <c r="D596" t="s">
        <v>10</v>
      </c>
      <c r="E596" t="s">
        <v>15</v>
      </c>
      <c r="F596">
        <v>72</v>
      </c>
      <c r="G596" s="3">
        <v>6.32</v>
      </c>
      <c r="H596" s="3">
        <v>455.04</v>
      </c>
      <c r="I596" t="s">
        <v>48</v>
      </c>
      <c r="J596" t="e">
        <f t="shared" si="9"/>
        <v>#VALUE!</v>
      </c>
    </row>
    <row r="597" spans="1:10" x14ac:dyDescent="0.35">
      <c r="A597">
        <v>218</v>
      </c>
      <c r="B597" s="2">
        <v>46202</v>
      </c>
      <c r="C597" t="s">
        <v>30</v>
      </c>
      <c r="D597" t="s">
        <v>14</v>
      </c>
      <c r="E597" t="s">
        <v>11</v>
      </c>
      <c r="F597">
        <v>68</v>
      </c>
      <c r="G597" s="3">
        <v>4.59</v>
      </c>
      <c r="H597" s="3">
        <v>312.12</v>
      </c>
      <c r="I597" t="s">
        <v>48</v>
      </c>
      <c r="J597" t="e">
        <f t="shared" si="9"/>
        <v>#VALUE!</v>
      </c>
    </row>
    <row r="598" spans="1:10" x14ac:dyDescent="0.35">
      <c r="A598">
        <v>317</v>
      </c>
      <c r="B598" s="2">
        <v>46202</v>
      </c>
      <c r="C598" t="s">
        <v>28</v>
      </c>
      <c r="D598" t="s">
        <v>20</v>
      </c>
      <c r="E598" t="s">
        <v>15</v>
      </c>
      <c r="F598">
        <v>68</v>
      </c>
      <c r="G598" s="3">
        <v>2.4500000000000002</v>
      </c>
      <c r="H598" s="3">
        <v>166.6</v>
      </c>
      <c r="I598" t="s">
        <v>48</v>
      </c>
      <c r="J598" t="e">
        <f t="shared" si="9"/>
        <v>#VALUE!</v>
      </c>
    </row>
    <row r="599" spans="1:10" x14ac:dyDescent="0.35">
      <c r="A599">
        <v>418</v>
      </c>
      <c r="B599" s="2">
        <v>46202</v>
      </c>
      <c r="C599" t="s">
        <v>13</v>
      </c>
      <c r="D599" t="s">
        <v>14</v>
      </c>
      <c r="E599" t="s">
        <v>15</v>
      </c>
      <c r="F599">
        <v>77</v>
      </c>
      <c r="G599" s="3">
        <v>1.77</v>
      </c>
      <c r="H599" s="3">
        <v>136.29</v>
      </c>
      <c r="I599" t="s">
        <v>48</v>
      </c>
      <c r="J599" t="e">
        <f t="shared" si="9"/>
        <v>#VALUE!</v>
      </c>
    </row>
    <row r="600" spans="1:10" x14ac:dyDescent="0.35">
      <c r="A600">
        <v>595</v>
      </c>
      <c r="B600" s="2">
        <v>46202</v>
      </c>
      <c r="C600" t="s">
        <v>28</v>
      </c>
      <c r="D600" t="s">
        <v>20</v>
      </c>
      <c r="E600" t="s">
        <v>15</v>
      </c>
      <c r="F600">
        <v>117</v>
      </c>
      <c r="G600" s="3">
        <v>2.5299999999999998</v>
      </c>
      <c r="H600" s="3">
        <v>296.01</v>
      </c>
      <c r="I600" t="s">
        <v>48</v>
      </c>
      <c r="J600" t="e">
        <f t="shared" si="9"/>
        <v>#VALUE!</v>
      </c>
    </row>
    <row r="601" spans="1:10" x14ac:dyDescent="0.35">
      <c r="A601">
        <v>514</v>
      </c>
      <c r="B601" s="2">
        <v>46203</v>
      </c>
      <c r="C601" t="s">
        <v>36</v>
      </c>
      <c r="D601" t="s">
        <v>14</v>
      </c>
      <c r="E601" t="s">
        <v>15</v>
      </c>
      <c r="F601">
        <v>62</v>
      </c>
      <c r="G601" s="3">
        <v>2.33</v>
      </c>
      <c r="H601" s="3">
        <v>144.46</v>
      </c>
      <c r="I601" t="s">
        <v>48</v>
      </c>
      <c r="J601" t="e">
        <f t="shared" si="9"/>
        <v>#VALUE!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0342-BB06-4B92-8D0F-2D7F18778428}">
  <dimension ref="A3:Q16"/>
  <sheetViews>
    <sheetView workbookViewId="0">
      <selection activeCell="O16" sqref="O16"/>
    </sheetView>
  </sheetViews>
  <sheetFormatPr defaultRowHeight="14.5" x14ac:dyDescent="0.35"/>
  <cols>
    <col min="1" max="1" width="17.90625" bestFit="1" customWidth="1"/>
    <col min="2" max="2" width="19.1796875" bestFit="1" customWidth="1"/>
    <col min="4" max="4" width="18.6328125" customWidth="1"/>
    <col min="5" max="5" width="19.6328125" customWidth="1"/>
    <col min="7" max="7" width="15.81640625" customWidth="1"/>
    <col min="8" max="8" width="14.81640625" customWidth="1"/>
    <col min="9" max="9" width="19" customWidth="1"/>
    <col min="11" max="11" width="13" customWidth="1"/>
    <col min="12" max="12" width="16.90625" customWidth="1"/>
    <col min="13" max="13" width="13.1796875" customWidth="1"/>
    <col min="14" max="14" width="16.6328125" customWidth="1"/>
    <col min="15" max="15" width="16.7265625" customWidth="1"/>
    <col min="16" max="16" width="16" customWidth="1"/>
    <col min="17" max="17" width="18.6328125" customWidth="1"/>
  </cols>
  <sheetData>
    <row r="3" spans="1:17" x14ac:dyDescent="0.35">
      <c r="A3" s="7" t="s">
        <v>68</v>
      </c>
      <c r="B3" t="s">
        <v>53</v>
      </c>
      <c r="D3" s="7" t="s">
        <v>68</v>
      </c>
      <c r="E3" t="s">
        <v>54</v>
      </c>
      <c r="G3" s="7" t="s">
        <v>8</v>
      </c>
      <c r="H3" s="7" t="s">
        <v>54</v>
      </c>
      <c r="I3" t="s">
        <v>53</v>
      </c>
      <c r="K3" s="7" t="s">
        <v>8</v>
      </c>
      <c r="L3" t="s">
        <v>56</v>
      </c>
      <c r="M3" s="7" t="s">
        <v>4</v>
      </c>
      <c r="N3" t="s">
        <v>54</v>
      </c>
      <c r="O3" s="7" t="s">
        <v>3</v>
      </c>
      <c r="P3" s="7" t="s">
        <v>54</v>
      </c>
      <c r="Q3" t="s">
        <v>53</v>
      </c>
    </row>
    <row r="4" spans="1:17" x14ac:dyDescent="0.35">
      <c r="A4" s="8" t="s">
        <v>28</v>
      </c>
      <c r="B4">
        <v>2780</v>
      </c>
      <c r="D4" s="8" t="s">
        <v>9</v>
      </c>
      <c r="E4" s="3">
        <v>14766.62</v>
      </c>
      <c r="G4" s="8" t="s">
        <v>12</v>
      </c>
      <c r="H4" s="3">
        <v>12617.789999999999</v>
      </c>
      <c r="I4" s="15">
        <v>2874</v>
      </c>
      <c r="K4" s="8" t="s">
        <v>12</v>
      </c>
      <c r="M4" s="8" t="s">
        <v>11</v>
      </c>
      <c r="N4" s="3">
        <v>84283.660000000047</v>
      </c>
      <c r="O4" s="8" t="s">
        <v>20</v>
      </c>
      <c r="P4" s="3">
        <v>27255.949999999993</v>
      </c>
      <c r="Q4">
        <v>8181</v>
      </c>
    </row>
    <row r="5" spans="1:17" x14ac:dyDescent="0.35">
      <c r="A5" s="8" t="s">
        <v>13</v>
      </c>
      <c r="B5">
        <v>2763</v>
      </c>
      <c r="D5" s="8" t="s">
        <v>24</v>
      </c>
      <c r="E5" s="3">
        <v>13640.97</v>
      </c>
      <c r="G5" s="8" t="s">
        <v>38</v>
      </c>
      <c r="H5" s="3">
        <v>9831.68</v>
      </c>
      <c r="I5" s="15">
        <v>2382</v>
      </c>
      <c r="K5" s="8" t="s">
        <v>38</v>
      </c>
      <c r="L5">
        <v>-0.22080808128840304</v>
      </c>
      <c r="M5" s="8" t="s">
        <v>15</v>
      </c>
      <c r="N5" s="3">
        <v>50016.849999999977</v>
      </c>
      <c r="O5" s="8" t="s">
        <v>10</v>
      </c>
      <c r="P5" s="3">
        <v>43766.540000000008</v>
      </c>
      <c r="Q5">
        <v>4939</v>
      </c>
    </row>
    <row r="6" spans="1:17" x14ac:dyDescent="0.35">
      <c r="A6" s="8" t="s">
        <v>32</v>
      </c>
      <c r="B6">
        <v>2462</v>
      </c>
      <c r="D6" s="8" t="s">
        <v>18</v>
      </c>
      <c r="E6" s="3">
        <v>11543.550000000003</v>
      </c>
      <c r="G6" s="8" t="s">
        <v>39</v>
      </c>
      <c r="H6" s="3">
        <v>9360.4599999999991</v>
      </c>
      <c r="I6" s="15">
        <v>2284</v>
      </c>
      <c r="K6" s="8" t="s">
        <v>39</v>
      </c>
      <c r="L6">
        <v>-4.7928736492644307E-2</v>
      </c>
      <c r="M6" s="8" t="s">
        <v>52</v>
      </c>
      <c r="N6" s="3">
        <v>134300.51</v>
      </c>
      <c r="O6" s="8" t="s">
        <v>14</v>
      </c>
      <c r="P6" s="3">
        <v>18618.46</v>
      </c>
      <c r="Q6">
        <v>5964</v>
      </c>
    </row>
    <row r="7" spans="1:17" x14ac:dyDescent="0.35">
      <c r="A7" s="8" t="s">
        <v>16</v>
      </c>
      <c r="B7">
        <v>2287</v>
      </c>
      <c r="D7" s="8" t="s">
        <v>37</v>
      </c>
      <c r="E7" s="3">
        <v>9285.34</v>
      </c>
      <c r="G7" s="8" t="s">
        <v>40</v>
      </c>
      <c r="H7" s="3">
        <v>13545.400000000003</v>
      </c>
      <c r="I7" s="15">
        <v>3078</v>
      </c>
      <c r="K7" s="8" t="s">
        <v>40</v>
      </c>
      <c r="L7">
        <v>0.44708700213451097</v>
      </c>
      <c r="O7" s="8" t="s">
        <v>22</v>
      </c>
      <c r="P7" s="3">
        <v>11083</v>
      </c>
      <c r="Q7">
        <v>3372</v>
      </c>
    </row>
    <row r="8" spans="1:17" x14ac:dyDescent="0.35">
      <c r="A8" s="8" t="s">
        <v>18</v>
      </c>
      <c r="B8">
        <v>1874</v>
      </c>
      <c r="D8" s="8" t="s">
        <v>21</v>
      </c>
      <c r="E8" s="3">
        <v>8506.69</v>
      </c>
      <c r="G8" s="8" t="s">
        <v>41</v>
      </c>
      <c r="H8" s="3">
        <v>12389.290000000003</v>
      </c>
      <c r="I8" s="15">
        <v>2750</v>
      </c>
      <c r="K8" s="8" t="s">
        <v>41</v>
      </c>
      <c r="L8">
        <v>-8.5350746378844503E-2</v>
      </c>
      <c r="O8" s="8" t="s">
        <v>27</v>
      </c>
      <c r="P8" s="3">
        <v>13764.189999999999</v>
      </c>
      <c r="Q8">
        <v>2926</v>
      </c>
    </row>
    <row r="9" spans="1:17" x14ac:dyDescent="0.35">
      <c r="A9" s="8" t="s">
        <v>52</v>
      </c>
      <c r="B9">
        <v>12166</v>
      </c>
      <c r="D9" s="8" t="s">
        <v>52</v>
      </c>
      <c r="E9" s="3">
        <v>57743.17</v>
      </c>
      <c r="G9" s="8" t="s">
        <v>42</v>
      </c>
      <c r="H9" s="3">
        <v>13720.970000000005</v>
      </c>
      <c r="I9" s="15">
        <v>2784</v>
      </c>
      <c r="K9" s="8" t="s">
        <v>42</v>
      </c>
      <c r="L9">
        <v>0.1074863854183736</v>
      </c>
      <c r="O9" s="8" t="s">
        <v>17</v>
      </c>
      <c r="P9" s="3">
        <v>19812.369999999995</v>
      </c>
      <c r="Q9">
        <v>5636</v>
      </c>
    </row>
    <row r="10" spans="1:17" x14ac:dyDescent="0.35">
      <c r="G10" s="8" t="s">
        <v>43</v>
      </c>
      <c r="H10" s="3">
        <v>12476.230000000001</v>
      </c>
      <c r="I10" s="15">
        <v>2814</v>
      </c>
      <c r="K10" s="8" t="s">
        <v>43</v>
      </c>
      <c r="L10">
        <v>-9.0718076054389959E-2</v>
      </c>
      <c r="O10" s="8" t="s">
        <v>52</v>
      </c>
      <c r="P10" s="3">
        <v>134300.51</v>
      </c>
      <c r="Q10">
        <v>31018</v>
      </c>
    </row>
    <row r="11" spans="1:17" x14ac:dyDescent="0.35">
      <c r="G11" s="8" t="s">
        <v>44</v>
      </c>
      <c r="H11" s="3">
        <v>9046.1099999999969</v>
      </c>
      <c r="I11" s="15">
        <v>2312</v>
      </c>
      <c r="K11" s="8" t="s">
        <v>44</v>
      </c>
      <c r="L11">
        <v>-0.27493241147365866</v>
      </c>
    </row>
    <row r="12" spans="1:17" x14ac:dyDescent="0.35">
      <c r="G12" s="8" t="s">
        <v>45</v>
      </c>
      <c r="H12" s="3">
        <v>8326.6699999999983</v>
      </c>
      <c r="I12" s="15">
        <v>2153</v>
      </c>
      <c r="K12" s="8" t="s">
        <v>45</v>
      </c>
      <c r="L12">
        <v>-7.9530317451368487E-2</v>
      </c>
    </row>
    <row r="13" spans="1:17" x14ac:dyDescent="0.35">
      <c r="G13" s="8" t="s">
        <v>46</v>
      </c>
      <c r="H13" s="3">
        <v>9984.84</v>
      </c>
      <c r="I13" s="15">
        <v>2190</v>
      </c>
      <c r="K13" s="8" t="s">
        <v>46</v>
      </c>
      <c r="L13">
        <v>0.19913963204978727</v>
      </c>
    </row>
    <row r="14" spans="1:17" x14ac:dyDescent="0.35">
      <c r="G14" s="8" t="s">
        <v>47</v>
      </c>
      <c r="H14" s="3">
        <v>13493.5</v>
      </c>
      <c r="I14" s="15">
        <v>2798</v>
      </c>
      <c r="K14" s="8" t="s">
        <v>47</v>
      </c>
      <c r="L14">
        <v>0.3513987204602177</v>
      </c>
    </row>
    <row r="15" spans="1:17" x14ac:dyDescent="0.35">
      <c r="G15" s="8" t="s">
        <v>48</v>
      </c>
      <c r="H15" s="3">
        <v>9507.5700000000015</v>
      </c>
      <c r="I15" s="15">
        <v>2599</v>
      </c>
      <c r="K15" s="8" t="s">
        <v>48</v>
      </c>
      <c r="L15">
        <v>-0.29539630192314809</v>
      </c>
    </row>
    <row r="16" spans="1:17" x14ac:dyDescent="0.35">
      <c r="G16" s="8" t="s">
        <v>52</v>
      </c>
      <c r="H16" s="3">
        <v>134300.51</v>
      </c>
      <c r="I16" s="15">
        <v>31018</v>
      </c>
      <c r="K16" s="8" t="s">
        <v>52</v>
      </c>
      <c r="L16">
        <v>1.0447069000432463E-2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1"/>
  <sheetViews>
    <sheetView topLeftCell="B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15" customWidth="1"/>
    <col min="3" max="4" width="12" customWidth="1"/>
    <col min="5" max="5" width="20" customWidth="1"/>
    <col min="6" max="9" width="12" customWidth="1"/>
    <col min="10" max="10" width="13" customWidth="1"/>
    <col min="11" max="11" width="12" customWidth="1"/>
    <col min="12" max="12" width="22" customWidth="1"/>
    <col min="13" max="14" width="12" customWidth="1"/>
    <col min="15" max="15" width="15" customWidth="1"/>
    <col min="16" max="17" width="12" customWidth="1"/>
    <col min="18" max="18" width="18" customWidth="1"/>
    <col min="19" max="19" width="15" customWidth="1"/>
    <col min="20" max="20" width="12" customWidth="1"/>
  </cols>
  <sheetData>
    <row r="1" spans="1:20" x14ac:dyDescent="0.35">
      <c r="A1" s="1" t="s">
        <v>2</v>
      </c>
      <c r="B1" s="1" t="s">
        <v>5</v>
      </c>
      <c r="C1" s="4"/>
      <c r="D1" s="4"/>
      <c r="E1" s="1" t="s">
        <v>2</v>
      </c>
      <c r="F1" s="1" t="s">
        <v>7</v>
      </c>
      <c r="G1" s="4"/>
      <c r="H1" s="4"/>
      <c r="I1" s="1" t="s">
        <v>8</v>
      </c>
      <c r="J1" s="1" t="s">
        <v>49</v>
      </c>
      <c r="K1" s="1" t="s">
        <v>7</v>
      </c>
      <c r="L1" s="1" t="s">
        <v>50</v>
      </c>
      <c r="M1" s="4"/>
      <c r="N1" s="1" t="s">
        <v>4</v>
      </c>
      <c r="O1" s="1" t="s">
        <v>5</v>
      </c>
      <c r="P1" s="1" t="s">
        <v>7</v>
      </c>
      <c r="Q1" s="4"/>
      <c r="R1" s="1" t="s">
        <v>3</v>
      </c>
      <c r="S1" s="1" t="s">
        <v>5</v>
      </c>
      <c r="T1" s="1" t="s">
        <v>7</v>
      </c>
    </row>
    <row r="2" spans="1:20" x14ac:dyDescent="0.35">
      <c r="A2" t="s">
        <v>28</v>
      </c>
      <c r="B2">
        <v>2780</v>
      </c>
      <c r="E2" t="s">
        <v>9</v>
      </c>
      <c r="F2">
        <v>14766.62</v>
      </c>
      <c r="I2" t="s">
        <v>12</v>
      </c>
      <c r="J2">
        <v>2874</v>
      </c>
      <c r="K2">
        <v>12617.79</v>
      </c>
      <c r="L2">
        <v>0</v>
      </c>
      <c r="N2" t="s">
        <v>11</v>
      </c>
      <c r="O2">
        <v>12726</v>
      </c>
      <c r="P2">
        <v>84283.66</v>
      </c>
      <c r="R2" t="s">
        <v>10</v>
      </c>
      <c r="S2">
        <v>4939</v>
      </c>
      <c r="T2">
        <v>43766.54</v>
      </c>
    </row>
    <row r="3" spans="1:20" x14ac:dyDescent="0.35">
      <c r="A3" t="s">
        <v>13</v>
      </c>
      <c r="B3">
        <v>2763</v>
      </c>
      <c r="E3" t="s">
        <v>24</v>
      </c>
      <c r="F3">
        <v>13640.97</v>
      </c>
      <c r="I3" t="s">
        <v>38</v>
      </c>
      <c r="J3">
        <v>2382</v>
      </c>
      <c r="K3">
        <v>9831.68</v>
      </c>
      <c r="L3">
        <v>-0.2208080812884031</v>
      </c>
      <c r="N3" t="s">
        <v>15</v>
      </c>
      <c r="O3">
        <v>18292</v>
      </c>
      <c r="P3">
        <v>50016.85</v>
      </c>
      <c r="R3" t="s">
        <v>20</v>
      </c>
      <c r="S3">
        <v>8181</v>
      </c>
      <c r="T3">
        <v>27255.95</v>
      </c>
    </row>
    <row r="4" spans="1:20" x14ac:dyDescent="0.35">
      <c r="A4" t="s">
        <v>32</v>
      </c>
      <c r="B4">
        <v>2462</v>
      </c>
      <c r="E4" t="s">
        <v>18</v>
      </c>
      <c r="F4">
        <v>11543.55</v>
      </c>
      <c r="I4" t="s">
        <v>39</v>
      </c>
      <c r="J4">
        <v>2284</v>
      </c>
      <c r="K4">
        <v>9360.4599999999991</v>
      </c>
      <c r="L4">
        <v>-4.7928736492644293E-2</v>
      </c>
      <c r="R4" t="s">
        <v>17</v>
      </c>
      <c r="S4">
        <v>5636</v>
      </c>
      <c r="T4">
        <v>19812.37</v>
      </c>
    </row>
    <row r="5" spans="1:20" x14ac:dyDescent="0.35">
      <c r="A5" t="s">
        <v>16</v>
      </c>
      <c r="B5">
        <v>2287</v>
      </c>
      <c r="E5" t="s">
        <v>37</v>
      </c>
      <c r="F5">
        <v>9285.34</v>
      </c>
      <c r="I5" t="s">
        <v>40</v>
      </c>
      <c r="J5">
        <v>3078</v>
      </c>
      <c r="K5">
        <v>13545.4</v>
      </c>
      <c r="L5">
        <v>0.44708700213451058</v>
      </c>
      <c r="R5" t="s">
        <v>14</v>
      </c>
      <c r="S5">
        <v>5964</v>
      </c>
      <c r="T5">
        <v>18618.46</v>
      </c>
    </row>
    <row r="6" spans="1:20" x14ac:dyDescent="0.35">
      <c r="A6" t="s">
        <v>18</v>
      </c>
      <c r="B6">
        <v>1874</v>
      </c>
      <c r="E6" t="s">
        <v>21</v>
      </c>
      <c r="F6">
        <v>8506.69</v>
      </c>
      <c r="I6" t="s">
        <v>41</v>
      </c>
      <c r="J6">
        <v>2750</v>
      </c>
      <c r="K6">
        <v>12389.29</v>
      </c>
      <c r="L6">
        <v>-8.5350746378844433E-2</v>
      </c>
      <c r="R6" t="s">
        <v>27</v>
      </c>
      <c r="S6">
        <v>2926</v>
      </c>
      <c r="T6">
        <v>13764.19</v>
      </c>
    </row>
    <row r="7" spans="1:20" x14ac:dyDescent="0.35">
      <c r="A7" t="s">
        <v>26</v>
      </c>
      <c r="B7">
        <v>1777</v>
      </c>
      <c r="E7" t="s">
        <v>32</v>
      </c>
      <c r="F7">
        <v>8021.06</v>
      </c>
      <c r="I7" t="s">
        <v>42</v>
      </c>
      <c r="J7">
        <v>2784</v>
      </c>
      <c r="K7">
        <v>13720.97</v>
      </c>
      <c r="L7">
        <v>0.1074863854183734</v>
      </c>
      <c r="R7" t="s">
        <v>22</v>
      </c>
      <c r="S7">
        <v>3372</v>
      </c>
      <c r="T7">
        <v>11083</v>
      </c>
    </row>
    <row r="8" spans="1:20" x14ac:dyDescent="0.35">
      <c r="A8" t="s">
        <v>29</v>
      </c>
      <c r="B8">
        <v>1689</v>
      </c>
      <c r="E8" t="s">
        <v>33</v>
      </c>
      <c r="F8">
        <v>7254.18</v>
      </c>
      <c r="I8" t="s">
        <v>43</v>
      </c>
      <c r="J8">
        <v>2814</v>
      </c>
      <c r="K8">
        <v>12476.23</v>
      </c>
      <c r="L8">
        <v>-9.0718076054389751E-2</v>
      </c>
    </row>
    <row r="9" spans="1:20" x14ac:dyDescent="0.35">
      <c r="A9" t="s">
        <v>21</v>
      </c>
      <c r="B9">
        <v>1683</v>
      </c>
      <c r="E9" t="s">
        <v>28</v>
      </c>
      <c r="F9">
        <v>7031.25</v>
      </c>
      <c r="I9" t="s">
        <v>44</v>
      </c>
      <c r="J9">
        <v>2312</v>
      </c>
      <c r="K9">
        <v>9046.11</v>
      </c>
      <c r="L9">
        <v>-0.27493241147365821</v>
      </c>
    </row>
    <row r="10" spans="1:20" x14ac:dyDescent="0.35">
      <c r="A10" t="s">
        <v>19</v>
      </c>
      <c r="B10">
        <v>1625</v>
      </c>
      <c r="E10" t="s">
        <v>23</v>
      </c>
      <c r="F10">
        <v>6541.36</v>
      </c>
      <c r="I10" t="s">
        <v>45</v>
      </c>
      <c r="J10">
        <v>2153</v>
      </c>
      <c r="K10">
        <v>8326.67</v>
      </c>
      <c r="L10">
        <v>-7.9530317451368626E-2</v>
      </c>
    </row>
    <row r="11" spans="1:20" x14ac:dyDescent="0.35">
      <c r="A11" t="s">
        <v>33</v>
      </c>
      <c r="B11">
        <v>1314</v>
      </c>
      <c r="E11" t="s">
        <v>31</v>
      </c>
      <c r="F11">
        <v>6373.3</v>
      </c>
      <c r="I11" t="s">
        <v>46</v>
      </c>
      <c r="J11">
        <v>2190</v>
      </c>
      <c r="K11">
        <v>9984.84</v>
      </c>
      <c r="L11">
        <v>0.19913963204978691</v>
      </c>
    </row>
    <row r="12" spans="1:20" x14ac:dyDescent="0.35">
      <c r="A12" t="s">
        <v>25</v>
      </c>
      <c r="B12">
        <v>1296</v>
      </c>
      <c r="E12" t="s">
        <v>35</v>
      </c>
      <c r="F12">
        <v>5507.4</v>
      </c>
      <c r="I12" t="s">
        <v>47</v>
      </c>
      <c r="J12">
        <v>2798</v>
      </c>
      <c r="K12">
        <v>13493.5</v>
      </c>
      <c r="L12">
        <v>0.35139872046021758</v>
      </c>
    </row>
    <row r="13" spans="1:20" x14ac:dyDescent="0.35">
      <c r="A13" t="s">
        <v>36</v>
      </c>
      <c r="B13">
        <v>1258</v>
      </c>
      <c r="E13" t="s">
        <v>16</v>
      </c>
      <c r="F13">
        <v>5097.42</v>
      </c>
      <c r="I13" t="s">
        <v>48</v>
      </c>
      <c r="J13">
        <v>2599</v>
      </c>
      <c r="K13">
        <v>9507.57</v>
      </c>
      <c r="L13">
        <v>-0.29539630192314831</v>
      </c>
    </row>
    <row r="14" spans="1:20" x14ac:dyDescent="0.35">
      <c r="A14" t="s">
        <v>9</v>
      </c>
      <c r="B14">
        <v>1220</v>
      </c>
      <c r="E14" t="s">
        <v>13</v>
      </c>
      <c r="F14">
        <v>5026.9799999999996</v>
      </c>
    </row>
    <row r="15" spans="1:20" x14ac:dyDescent="0.35">
      <c r="A15" t="s">
        <v>37</v>
      </c>
      <c r="B15">
        <v>1149</v>
      </c>
      <c r="E15" t="s">
        <v>19</v>
      </c>
      <c r="F15">
        <v>4949.46</v>
      </c>
    </row>
    <row r="16" spans="1:20" x14ac:dyDescent="0.35">
      <c r="A16" t="s">
        <v>23</v>
      </c>
      <c r="B16">
        <v>1070</v>
      </c>
      <c r="E16" t="s">
        <v>26</v>
      </c>
      <c r="F16">
        <v>4478.8500000000004</v>
      </c>
    </row>
    <row r="17" spans="1:6" x14ac:dyDescent="0.35">
      <c r="A17" t="s">
        <v>31</v>
      </c>
      <c r="B17">
        <v>987</v>
      </c>
      <c r="E17" t="s">
        <v>30</v>
      </c>
      <c r="F17">
        <v>4386.74</v>
      </c>
    </row>
    <row r="18" spans="1:6" x14ac:dyDescent="0.35">
      <c r="A18" t="s">
        <v>35</v>
      </c>
      <c r="B18">
        <v>983</v>
      </c>
      <c r="E18" t="s">
        <v>34</v>
      </c>
      <c r="F18">
        <v>3815.4</v>
      </c>
    </row>
    <row r="19" spans="1:6" x14ac:dyDescent="0.35">
      <c r="A19" t="s">
        <v>30</v>
      </c>
      <c r="B19">
        <v>956</v>
      </c>
      <c r="E19" t="s">
        <v>36</v>
      </c>
      <c r="F19">
        <v>2831.44</v>
      </c>
    </row>
    <row r="20" spans="1:6" x14ac:dyDescent="0.35">
      <c r="A20" t="s">
        <v>34</v>
      </c>
      <c r="B20">
        <v>943</v>
      </c>
      <c r="E20" t="s">
        <v>25</v>
      </c>
      <c r="F20">
        <v>2666.19</v>
      </c>
    </row>
    <row r="21" spans="1:6" x14ac:dyDescent="0.35">
      <c r="A21" t="s">
        <v>24</v>
      </c>
      <c r="B21">
        <v>902</v>
      </c>
      <c r="E21" t="s">
        <v>29</v>
      </c>
      <c r="F21">
        <v>2576.31</v>
      </c>
    </row>
  </sheetData>
  <autoFilter ref="A1:T21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89EB-B36F-4237-A7AF-CB589DBF1FF5}">
  <dimension ref="A1:G76"/>
  <sheetViews>
    <sheetView tabSelected="1" topLeftCell="D1" zoomScale="88" zoomScaleNormal="54" workbookViewId="0">
      <selection activeCell="E69" sqref="E69"/>
    </sheetView>
  </sheetViews>
  <sheetFormatPr defaultRowHeight="14.5" x14ac:dyDescent="0.35"/>
  <cols>
    <col min="4" max="4" width="32.1796875" customWidth="1"/>
    <col min="5" max="5" width="35.6328125" customWidth="1"/>
    <col min="6" max="6" width="41" customWidth="1"/>
    <col min="7" max="7" width="45.26953125" customWidth="1"/>
  </cols>
  <sheetData>
    <row r="1" spans="1:7" ht="31" x14ac:dyDescent="0.7">
      <c r="A1" s="9" t="s">
        <v>57</v>
      </c>
    </row>
    <row r="3" spans="1:7" ht="23.5" x14ac:dyDescent="0.55000000000000004">
      <c r="D3" s="10" t="s">
        <v>58</v>
      </c>
      <c r="E3" s="11" t="s">
        <v>59</v>
      </c>
      <c r="F3" s="11" t="s">
        <v>60</v>
      </c>
      <c r="G3" s="12" t="s">
        <v>61</v>
      </c>
    </row>
    <row r="4" spans="1:7" ht="23.5" x14ac:dyDescent="0.55000000000000004">
      <c r="D4" s="16">
        <f>SUM(Raw_Data!H:H)</f>
        <v>134300.51</v>
      </c>
      <c r="E4" s="17">
        <f>SUM(Raw_Data!F:F)</f>
        <v>31018</v>
      </c>
      <c r="F4" s="13">
        <f>COUNTA(Raw_Data!A:A)-1</f>
        <v>600</v>
      </c>
      <c r="G4" s="14">
        <f>COUNTA(_xlfn.UNIQUE(Raw_Data!C2:C601))</f>
        <v>20</v>
      </c>
    </row>
    <row r="71" spans="4:5" ht="21" x14ac:dyDescent="0.5">
      <c r="D71" s="18" t="s">
        <v>62</v>
      </c>
    </row>
    <row r="72" spans="4:5" x14ac:dyDescent="0.35">
      <c r="D72" s="19" t="s">
        <v>63</v>
      </c>
      <c r="E72" s="19"/>
    </row>
    <row r="73" spans="4:5" x14ac:dyDescent="0.35">
      <c r="D73" s="19" t="s">
        <v>64</v>
      </c>
      <c r="E73" s="19"/>
    </row>
    <row r="74" spans="4:5" x14ac:dyDescent="0.35">
      <c r="D74" s="19" t="s">
        <v>65</v>
      </c>
      <c r="E74" s="19"/>
    </row>
    <row r="75" spans="4:5" x14ac:dyDescent="0.35">
      <c r="D75" s="20" t="s">
        <v>67</v>
      </c>
      <c r="E75" s="19"/>
    </row>
    <row r="76" spans="4:5" x14ac:dyDescent="0.35">
      <c r="D76" s="19" t="s">
        <v>66</v>
      </c>
      <c r="E76" s="19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Analysis sheet</vt:lpstr>
      <vt:lpstr>Analysis</vt:lpstr>
      <vt:lpstr>final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Keerthana E</cp:lastModifiedBy>
  <dcterms:created xsi:type="dcterms:W3CDTF">2026-08-28T06:28:15Z</dcterms:created>
  <dcterms:modified xsi:type="dcterms:W3CDTF">2026-08-28T12:48:37Z</dcterms:modified>
</cp:coreProperties>
</file>